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cidents" sheetId="2" state="visible" r:id="rId4"/>
    <sheet name="Costs" sheetId="3" state="visible" r:id="rId5"/>
    <sheet name="Calls to check" sheetId="4" state="visible" r:id="rId6"/>
    <sheet name="Screening" sheetId="5" state="visible" r:id="rId7"/>
  </sheets>
  <definedNames>
    <definedName function="false" hidden="true" localSheetId="1" name="_xlnm._FilterDatabase" vbProcedure="false">Incidents!$A$1:$P$69</definedName>
    <definedName function="false" hidden="true" localSheetId="4" name="_xlnm._FilterDatabase" vbProcedure="false">Screening!$A$1:$F$207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Distinct company names in data/sec/sec_8k_filings.csv</t>
        </r>
      </text>
    </comment>
    <comment ref="E15" authorId="0">
      <text>
        <r>
          <rPr>
            <sz val="10"/>
            <rFont val="Arial"/>
            <family val="2"/>
          </rPr>
          <t xml:space="preserve">VCDB values: results/analysis_results.json (B_hand_table, B_hand_events) and results/hand/events_hand.csv (hand_root_cause), repo schennuri/breach-evidence-gap.</t>
        </r>
      </text>
    </comment>
    <comment ref="H15" authorId="0">
      <text>
        <r>
          <rPr>
            <sz val="10"/>
            <rFont val="Arial"/>
            <family val="2"/>
          </rPr>
          <t xml:space="preserve">Fisher exact test computed in src/sec_analysis.py (scipy); stored as a value because Excel has no Fisher test. Recompute if counts change.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2" authorId="0">
      <text>
        <r>
          <rPr>
            <sz val="10"/>
            <rFont val="Arial"/>
            <family val="2"/>
          </rPr>
          <t xml:space="preserve">The four CDK Global dealers count as one event, represented by Sonic Automotive (coded CLOUD / THIRD_PARTY, as the campaign is).</t>
        </r>
      </text>
    </comment>
  </commentList>
</comments>
</file>

<file path=xl/sharedStrings.xml><?xml version="1.0" encoding="utf-8"?>
<sst xmlns="http://schemas.openxmlformats.org/spreadsheetml/2006/main" count="2105" uniqueCount="846">
  <si>
    <t xml:space="preserve">SEC Form 8-K incidents vs VCDB</t>
  </si>
  <si>
    <t xml:space="preserve">Hand-coded 8-K cybersecurity incident disclosures, Dec 18, 2023 – Dec 31, 2025, compared with VCDB events under the hand campaign rule (B). Black = formulas over the Incidents sheet; blue = values from the repo results.</t>
  </si>
  <si>
    <t xml:space="preserve">Screening</t>
  </si>
  <si>
    <t xml:space="preserve">Filings returned by EDGAR search</t>
  </si>
  <si>
    <t xml:space="preserve">Companies</t>
  </si>
  <si>
    <t xml:space="preserve">Incident reports (first filing)</t>
  </si>
  <si>
    <t xml:space="preserve">Update filings</t>
  </si>
  <si>
    <t xml:space="preserve">Excluded (not incident reports)</t>
  </si>
  <si>
    <t xml:space="preserve">Incidents ever filed under Item 1.05</t>
  </si>
  <si>
    <t xml:space="preserve">Events after merging CDK dealers</t>
  </si>
  <si>
    <t xml:space="preserve">Table VI — SEC events vs VCDB events (hand rule)</t>
  </si>
  <si>
    <t xml:space="preserve">Measure</t>
  </si>
  <si>
    <t xml:space="preserve">SEC count</t>
  </si>
  <si>
    <t xml:space="preserve">SEC base</t>
  </si>
  <si>
    <t xml:space="preserve">SEC %</t>
  </si>
  <si>
    <t xml:space="preserve">VCDB count</t>
  </si>
  <si>
    <t xml:space="preserve">VCDB base</t>
  </si>
  <si>
    <t xml:space="preserve">VCDB %</t>
  </si>
  <si>
    <t xml:space="preserve">Fisher exact p</t>
  </si>
  <si>
    <t xml:space="preserve">Environment stated</t>
  </si>
  <si>
    <t xml:space="preserve">Cloud, share of those</t>
  </si>
  <si>
    <t xml:space="preserve">Root cause stated</t>
  </si>
  <si>
    <t xml:space="preserve">Misconfiguration</t>
  </si>
  <si>
    <t xml:space="preserve">VCDB causes come partly from curators' structured codes (drawing on press coverage); SEC causes come from the filing text alone.</t>
  </si>
  <si>
    <t xml:space="preserve">Root causes, SEC events</t>
  </si>
  <si>
    <t xml:space="preserve">Root cause</t>
  </si>
  <si>
    <t xml:space="preserve">Primary order</t>
  </si>
  <si>
    <t xml:space="preserve">Alternative order</t>
  </si>
  <si>
    <t xml:space="preserve">PHYSICAL</t>
  </si>
  <si>
    <t xml:space="preserve">THIRD_PARTY</t>
  </si>
  <si>
    <t xml:space="preserve">INSIDER</t>
  </si>
  <si>
    <t xml:space="preserve">UNPATCHED</t>
  </si>
  <si>
    <t xml:space="preserve">MISCONFIG</t>
  </si>
  <si>
    <t xml:space="preserve">CREDENTIAL</t>
  </si>
  <si>
    <t xml:space="preserve">OTHER</t>
  </si>
  <si>
    <t xml:space="preserve">Total</t>
  </si>
  <si>
    <t xml:space="preserve">Environment × root cause, SEC events</t>
  </si>
  <si>
    <t xml:space="preserve">CLOUD</t>
  </si>
  <si>
    <t xml:space="preserve">ONPREM</t>
  </si>
  <si>
    <t xml:space="preserve">UND</t>
  </si>
  <si>
    <t xml:space="preserve">#</t>
  </si>
  <si>
    <t xml:space="preserve">Company</t>
  </si>
  <si>
    <t xml:space="preserve">First filing date</t>
  </si>
  <si>
    <t xml:space="preserve">Accession</t>
  </si>
  <si>
    <t xml:space="preserve">Item (first filing)</t>
  </si>
  <si>
    <t xml:space="preserve">Ever Item 1.05</t>
  </si>
  <si>
    <t xml:space="preserve">Environment</t>
  </si>
  <si>
    <t xml:space="preserve">Root cause (alt. order)</t>
  </si>
  <si>
    <t xml:space="preserve">Campaign</t>
  </si>
  <si>
    <t xml:space="preserve">Counts as event</t>
  </si>
  <si>
    <t xml:space="preserve">Basis (from filing text)</t>
  </si>
  <si>
    <t xml:space="preserve">Cost low (USD)</t>
  </si>
  <si>
    <t xml:space="preserve">Cost high (USD)</t>
  </si>
  <si>
    <t xml:space="preserve">Notes</t>
  </si>
  <si>
    <t xml:space="preserve">Filing URL</t>
  </si>
  <si>
    <t xml:space="preserve">V F CORP</t>
  </si>
  <si>
    <t xml:space="preserve">2023-12-18</t>
  </si>
  <si>
    <t xml:space="preserve">0000950123-23-011228</t>
  </si>
  <si>
    <t xml:space="preserve">1.05</t>
  </si>
  <si>
    <t xml:space="preserve">Y</t>
  </si>
  <si>
    <t xml:space="preserve">threat actor encrypted some IT systems and stole data; hosting not stated</t>
  </si>
  <si>
    <t xml:space="preserve">https://www.sec.gov/Archives/edgar/data/103379/000095012323011228/d659095d8k.htm</t>
  </si>
  <si>
    <t xml:space="preserve">First American Financial Corp</t>
  </si>
  <si>
    <t xml:space="preserve">2023-12-22</t>
  </si>
  <si>
    <t xml:space="preserve">0000950170-23-072513</t>
  </si>
  <si>
    <t xml:space="preserve">unauthorized activity on IT systems; isolated systems from the Internet</t>
  </si>
  <si>
    <t xml:space="preserve">one-time expenses, amount not stated</t>
  </si>
  <si>
    <t xml:space="preserve">https://www.sec.gov/Archives/edgar/data/1472787/000095017023072513/faf-20231220.htm</t>
  </si>
  <si>
    <t xml:space="preserve">loanDepot, Inc.</t>
  </si>
  <si>
    <t xml:space="preserve">2024-01-08</t>
  </si>
  <si>
    <t xml:space="preserve">0001831631-24-000004</t>
  </si>
  <si>
    <t xml:space="preserve">8.01</t>
  </si>
  <si>
    <t xml:space="preserve">N</t>
  </si>
  <si>
    <t xml:space="preserve">unauthorized access to systems and encryption of data</t>
  </si>
  <si>
    <t xml:space="preserve">Q1 2024 expenses net of insurance</t>
  </si>
  <si>
    <t xml:space="preserve">https://www.sec.gov/Archives/edgar/data/1831631/000183163124000004/ldi-20240104.htm</t>
  </si>
  <si>
    <t xml:space="preserve">Fidelity National Financial, Inc.</t>
  </si>
  <si>
    <t xml:space="preserve">2024-01-09</t>
  </si>
  <si>
    <t xml:space="preserve">0001331875-24-000005</t>
  </si>
  <si>
    <t xml:space="preserve">unauthorized third-party activity in the Company's network; malware deployed</t>
  </si>
  <si>
    <t xml:space="preserve">https://www.sec.gov/Archives/edgar/data/1331875/000133187524000005/fnf-20231119.htm</t>
  </si>
  <si>
    <t xml:space="preserve">MICROSOFT CORP</t>
  </si>
  <si>
    <t xml:space="preserve">2024-01-19</t>
  </si>
  <si>
    <t xml:space="preserve">0001193125-24-011295</t>
  </si>
  <si>
    <t xml:space="preserve">nation-state actor accessed employee email accounts, later source code repositories; mail platform and entry method not stated</t>
  </si>
  <si>
    <t xml:space="preserve">https://www.sec.gov/Archives/edgar/data/789019/000119312524011295/d708866d8k.htm</t>
  </si>
  <si>
    <t xml:space="preserve">Hewlett Packard Enterprise Co</t>
  </si>
  <si>
    <t xml:space="preserve">2024-01-24</t>
  </si>
  <si>
    <t xml:space="preserve">0001645590-24-000009</t>
  </si>
  <si>
    <t xml:space="preserve">unauthorized access to HPE's cloud-based email environment (Midnight Blizzard); entry method not stated</t>
  </si>
  <si>
    <t xml:space="preserve">https://www.sec.gov/Archives/edgar/data/1645590/000164559024000009/hpe-20240119.htm</t>
  </si>
  <si>
    <t xml:space="preserve">SouthState Corp</t>
  </si>
  <si>
    <t xml:space="preserve">2024-02-09</t>
  </si>
  <si>
    <t xml:space="preserve">0000950103-24-002017</t>
  </si>
  <si>
    <t xml:space="preserve">isolated parts of its network to disrupt the unauthorized activity</t>
  </si>
  <si>
    <t xml:space="preserve">https://www.sec.gov/Archives/edgar/data/764038/000095010324002017/dp206600_8k.htm</t>
  </si>
  <si>
    <t xml:space="preserve">WILLIS LEASE FINANCE CORP</t>
  </si>
  <si>
    <t xml:space="preserve">0001018164-24-000005</t>
  </si>
  <si>
    <t xml:space="preserve">unauthorized activity on portions of IT systems</t>
  </si>
  <si>
    <t xml:space="preserve">https://www.sec.gov/Archives/edgar/data/1018164/000101816424000005/wlfc-20240209.htm</t>
  </si>
  <si>
    <t xml:space="preserve">PRUDENTIAL FINANCIAL INC</t>
  </si>
  <si>
    <t xml:space="preserve">2024-02-13</t>
  </si>
  <si>
    <t xml:space="preserve">0001193125-24-033753</t>
  </si>
  <si>
    <t xml:space="preserve">accessed administrative and user data and user accounts; method not stated</t>
  </si>
  <si>
    <t xml:space="preserve">https://www.sec.gov/Archives/edgar/data/1137774/000119312524033753/d770643d8k.htm</t>
  </si>
  <si>
    <t xml:space="preserve">UNITEDHEALTH GROUP INC</t>
  </si>
  <si>
    <t xml:space="preserve">2024-02-22</t>
  </si>
  <si>
    <t xml:space="preserve">0000731766-24-000045</t>
  </si>
  <si>
    <t xml:space="preserve">threat actor gained access to Change Healthcare IT systems; hosting and entry not stated</t>
  </si>
  <si>
    <t xml:space="preserve">https://www.sec.gov/Archives/edgar/data/731766/000073176624000045/unh-20240221.htm</t>
  </si>
  <si>
    <t xml:space="preserve">Cencora, Inc.</t>
  </si>
  <si>
    <t xml:space="preserve">2024-02-27</t>
  </si>
  <si>
    <t xml:space="preserve">0001104659-24-028288</t>
  </si>
  <si>
    <t xml:space="preserve">data exfiltrated from information systems</t>
  </si>
  <si>
    <t xml:space="preserve">https://www.sec.gov/Archives/edgar/data/1140859/000110465924028288/tm247267d1_8k.htm</t>
  </si>
  <si>
    <t xml:space="preserve">Federal Home Loan Bank of New York</t>
  </si>
  <si>
    <t xml:space="preserve">2024-03-01</t>
  </si>
  <si>
    <t xml:space="preserve">0001654954-24-002505</t>
  </si>
  <si>
    <t xml:space="preserve">a fourth-party vendor (vendor of a bank vendor) was compromised; bank systems not affected</t>
  </si>
  <si>
    <t xml:space="preserve">https://www.sec.gov/Archives/edgar/data/1329842/000165495424002505/fhlbny_8k.htm</t>
  </si>
  <si>
    <t xml:space="preserve">MARINEMAX INC</t>
  </si>
  <si>
    <t xml:space="preserve">2024-03-12</t>
  </si>
  <si>
    <t xml:space="preserve">0000950170-24-030041</t>
  </si>
  <si>
    <t xml:space="preserve">cybercrime organization accessed a portion of the information environment</t>
  </si>
  <si>
    <t xml:space="preserve">https://www.sec.gov/Archives/edgar/data/1057060/000095017024030041/hzo-20240310.htm</t>
  </si>
  <si>
    <t xml:space="preserve">RADIANT LOGISTICS, INC</t>
  </si>
  <si>
    <t xml:space="preserve">2024-03-20</t>
  </si>
  <si>
    <t xml:space="preserve">0000950170-24-033954</t>
  </si>
  <si>
    <t xml:space="preserve">isolated Canadian operations from the rest of its network</t>
  </si>
  <si>
    <t xml:space="preserve">https://www.sec.gov/Archives/edgar/data/1171155/000095017024033954/rlgt-20240319.htm</t>
  </si>
  <si>
    <t xml:space="preserve">B. Riley Financial, Inc.</t>
  </si>
  <si>
    <t xml:space="preserve">2024-04-08</t>
  </si>
  <si>
    <t xml:space="preserve">0001213900-24-031252</t>
  </si>
  <si>
    <t xml:space="preserve">unauthorized access to Targus file systems; interruption of the Targus network</t>
  </si>
  <si>
    <t xml:space="preserve">https://www.sec.gov/Archives/edgar/data/1464790/000121390024031252/ea0203500-8k_briley.htm</t>
  </si>
  <si>
    <t xml:space="preserve">ORASURE TECHNOLOGIES INC</t>
  </si>
  <si>
    <t xml:space="preserve">2024-04-12</t>
  </si>
  <si>
    <t xml:space="preserve">0001193125-24-094797</t>
  </si>
  <si>
    <t xml:space="preserve">third party accessed data from certain information systems</t>
  </si>
  <si>
    <t xml:space="preserve">https://www.sec.gov/Archives/edgar/data/1116463/000119312524094797/d825009d8k.htm</t>
  </si>
  <si>
    <t xml:space="preserve">Frontier Communications Parent, Inc.</t>
  </si>
  <si>
    <t xml:space="preserve">2024-04-18</t>
  </si>
  <si>
    <t xml:space="preserve">0001193125-24-100764</t>
  </si>
  <si>
    <t xml:space="preserve">third party accessed portions of IT environment; cybercrime group</t>
  </si>
  <si>
    <t xml:space="preserve">https://www.sec.gov/Archives/edgar/data/20520/000119312524100764/d784189d8k.htm</t>
  </si>
  <si>
    <t xml:space="preserve">DROPBOX, INC.</t>
  </si>
  <si>
    <t xml:space="preserve">2024-05-01</t>
  </si>
  <si>
    <t xml:space="preserve">0001467623-24-000024</t>
  </si>
  <si>
    <t xml:space="preserve">unauthorized access to the Dropbox Sign production environment (the hosted e-signature service), all users' data</t>
  </si>
  <si>
    <t xml:space="preserve">borderline: SaaS inferred from the service, not the word cloud</t>
  </si>
  <si>
    <t xml:space="preserve">https://www.sec.gov/Archives/edgar/data/1467623/000146762324000024/dbx-20240429.htm</t>
  </si>
  <si>
    <t xml:space="preserve">BRANDYWINE REALTY TRUST</t>
  </si>
  <si>
    <t xml:space="preserve">2024-05-07</t>
  </si>
  <si>
    <t xml:space="preserve">0001193125-24-133132</t>
  </si>
  <si>
    <t xml:space="preserve">access and encryption on a portion of internal corporate IT systems</t>
  </si>
  <si>
    <t xml:space="preserve">https://www.sec.gov/Archives/edgar/data/790816/000119312524133132/d824906d8k.htm</t>
  </si>
  <si>
    <t xml:space="preserve">DocGo Inc.</t>
  </si>
  <si>
    <t xml:space="preserve">0001822359-24-000037</t>
  </si>
  <si>
    <t xml:space="preserve">threat actor accessed health records in ambulance business</t>
  </si>
  <si>
    <t xml:space="preserve">https://www.sec.gov/Archives/edgar/data/1822359/000182235924000037/dcgo-20240507.htm</t>
  </si>
  <si>
    <t xml:space="preserve">KEY TRONIC CORP</t>
  </si>
  <si>
    <t xml:space="preserve">2024-05-10</t>
  </si>
  <si>
    <t xml:space="preserve">0000719733-24-000015</t>
  </si>
  <si>
    <t xml:space="preserve">unauthorized access to portions of IT systems</t>
  </si>
  <si>
    <t xml:space="preserve">plus ~$15M revenue not fulfilled in quarter</t>
  </si>
  <si>
    <t xml:space="preserve">https://www.sec.gov/Archives/edgar/data/719733/000071973324000015/ktcc-20240506.htm</t>
  </si>
  <si>
    <t xml:space="preserve">KULICKE &amp; SOFFA INDUSTRIES INC</t>
  </si>
  <si>
    <t xml:space="preserve">2024-06-12</t>
  </si>
  <si>
    <t xml:space="preserve">0000056978-24-000075</t>
  </si>
  <si>
    <t xml:space="preserve">unauthorized access into its network and servers</t>
  </si>
  <si>
    <t xml:space="preserve">https://www.sec.gov/Archives/edgar/data/56978/000005697824000075/klic-20240528.htm</t>
  </si>
  <si>
    <t xml:space="preserve">GLOBE LIFE INC.</t>
  </si>
  <si>
    <t xml:space="preserve">2024-06-14</t>
  </si>
  <si>
    <t xml:space="preserve">0000320335-24-000029</t>
  </si>
  <si>
    <t xml:space="preserve">filing text not captured beyond a reference to Item 1.05</t>
  </si>
  <si>
    <t xml:space="preserve">text not captured; re-read needed</t>
  </si>
  <si>
    <t xml:space="preserve">https://www.sec.gov/Archives/edgar/data/320335/000032033524000029/gl-20240614.htm</t>
  </si>
  <si>
    <t xml:space="preserve">PENSKE AUTOMOTIVE GROUP, INC.</t>
  </si>
  <si>
    <t xml:space="preserve">2024-06-21</t>
  </si>
  <si>
    <t xml:space="preserve">0001019849-24-000089</t>
  </si>
  <si>
    <t xml:space="preserve">CDK</t>
  </si>
  <si>
    <t xml:space="preserve">CDK Global (DMS provider) incident; hosting not stated in this filing</t>
  </si>
  <si>
    <t xml:space="preserve">https://www.sec.gov/Archives/edgar/data/1019849/000101984924000089/pag-20240619.htm</t>
  </si>
  <si>
    <t xml:space="preserve">SONIC AUTOMOTIVE INC</t>
  </si>
  <si>
    <t xml:space="preserve">0001043509-24-000059</t>
  </si>
  <si>
    <t xml:space="preserve">dealer management system hosted by CDK, a third-party provider, disrupted by CDK incident</t>
  </si>
  <si>
    <t xml:space="preserve">https://www.sec.gov/Archives/edgar/data/1043509/000104350924000059/sah-20240619.htm</t>
  </si>
  <si>
    <t xml:space="preserve">GROUP 1 AUTOMOTIVE INC</t>
  </si>
  <si>
    <t xml:space="preserve">2024-06-24</t>
  </si>
  <si>
    <t xml:space="preserve">0001031203-24-000048</t>
  </si>
  <si>
    <t xml:space="preserve">CDK software-as-a-service platform disrupted by CDK incident</t>
  </si>
  <si>
    <t xml:space="preserve">https://www.sec.gov/Archives/edgar/data/1031203/000103120324000048/gpi-20240619.htm</t>
  </si>
  <si>
    <t xml:space="preserve">LITHIA MOTORS INC</t>
  </si>
  <si>
    <t xml:space="preserve">0001023128-24-000079</t>
  </si>
  <si>
    <t xml:space="preserve">CDK hosted dealer management system disrupted by CDK incident</t>
  </si>
  <si>
    <t xml:space="preserve">https://www.sec.gov/Archives/edgar/data/1023128/000102312824000079/lad-20240619.htm</t>
  </si>
  <si>
    <t xml:space="preserve">Affirm Holdings, Inc.</t>
  </si>
  <si>
    <t xml:space="preserve">2024-07-01</t>
  </si>
  <si>
    <t xml:space="preserve">0001820953-24-000027</t>
  </si>
  <si>
    <t xml:space="preserve">EVOLVE</t>
  </si>
  <si>
    <t xml:space="preserve">card issuer Evolve Bank breached; Affirm systems not compromised</t>
  </si>
  <si>
    <t xml:space="preserve">https://www.sec.gov/Archives/edgar/data/1820953/000182095324000027/afrm-20240625.htm</t>
  </si>
  <si>
    <t xml:space="preserve">Crimson Wine Group, Ltd</t>
  </si>
  <si>
    <t xml:space="preserve">2024-07-05</t>
  </si>
  <si>
    <t xml:space="preserve">0001562151-24-000030</t>
  </si>
  <si>
    <t xml:space="preserve">third party accessed certain technology systems</t>
  </si>
  <si>
    <t xml:space="preserve">https://www.sec.gov/Archives/edgar/data/1562151/000156215124000030/cwgl-20240630.htm</t>
  </si>
  <si>
    <t xml:space="preserve">AT&amp;T INC.</t>
  </si>
  <si>
    <t xml:space="preserve">2024-07-12</t>
  </si>
  <si>
    <t xml:space="preserve">0000732717-24-000046</t>
  </si>
  <si>
    <t xml:space="preserve">threat actors accessed an AT&amp;T workspace on a third-party cloud platform; method not stated</t>
  </si>
  <si>
    <t xml:space="preserve">press links this to the 2024 Snowflake customer campaign; not stated in filing</t>
  </si>
  <si>
    <t xml:space="preserve">https://www.sec.gov/Archives/edgar/data/732717/000073271724000046/t-20240506.htm</t>
  </si>
  <si>
    <t xml:space="preserve">BASSETT FURNITURE INDUSTRIES INC</t>
  </si>
  <si>
    <t xml:space="preserve">2024-07-15</t>
  </si>
  <si>
    <t xml:space="preserve">0001437749-24-022743</t>
  </si>
  <si>
    <t xml:space="preserve">threat actor encrypted some data files</t>
  </si>
  <si>
    <t xml:space="preserve">https://www.sec.gov/Archives/edgar/data/10329/000143774924022743/bset20240715_8k.htm</t>
  </si>
  <si>
    <t xml:space="preserve">Cadre Holdings, Inc.</t>
  </si>
  <si>
    <t xml:space="preserve">2024-07-19</t>
  </si>
  <si>
    <t xml:space="preserve">0001104659-24-081176</t>
  </si>
  <si>
    <t xml:space="preserve">https://www.sec.gov/Archives/edgar/data/1860543/000110465924081176/tm2419841d1_8k.htm</t>
  </si>
  <si>
    <t xml:space="preserve">META MATERIALS INC.</t>
  </si>
  <si>
    <t xml:space="preserve">2024-08-01</t>
  </si>
  <si>
    <t xml:space="preserve">0000950170-24-089345</t>
  </si>
  <si>
    <t xml:space="preserve">a former executive officer deliberately deactivated the company website</t>
  </si>
  <si>
    <t xml:space="preserve">https://www.sec.gov/Archives/edgar/data/1431959/000095017024089345/mmat-20240725.htm</t>
  </si>
  <si>
    <t xml:space="preserve">ADT Inc.</t>
  </si>
  <si>
    <t xml:space="preserve">2024-08-08</t>
  </si>
  <si>
    <t xml:space="preserve">0000950157-24-001064</t>
  </si>
  <si>
    <t xml:space="preserve">unauthorized actors accessed databases containing customer order information</t>
  </si>
  <si>
    <t xml:space="preserve">first of two ADT incidents</t>
  </si>
  <si>
    <t xml:space="preserve">https://www.sec.gov/Archives/edgar/data/1703056/000095015724001064/form8k.htm</t>
  </si>
  <si>
    <t xml:space="preserve">2024-10-07</t>
  </si>
  <si>
    <t xml:space="preserve">0001193125-24-233900</t>
  </si>
  <si>
    <t xml:space="preserve">accessed ADT's network using compromised credentials obtained through a third-party business partner</t>
  </si>
  <si>
    <t xml:space="preserve">second ADT incident</t>
  </si>
  <si>
    <t xml:space="preserve">https://www.sec.gov/Archives/edgar/data/1703056/000119312524233900/d876174d8k.htm</t>
  </si>
  <si>
    <t xml:space="preserve">MICROCHIP TECHNOLOGY INC</t>
  </si>
  <si>
    <t xml:space="preserve">2024-08-20</t>
  </si>
  <si>
    <t xml:space="preserve">0000827054-24-000153</t>
  </si>
  <si>
    <t xml:space="preserve">unauthorized party disrupted use of certain servers</t>
  </si>
  <si>
    <t xml:space="preserve">https://www.sec.gov/Archives/edgar/data/827054/000082705424000153/mchp-20240820.htm</t>
  </si>
  <si>
    <t xml:space="preserve">HALLIBURTON CO</t>
  </si>
  <si>
    <t xml:space="preserve">2024-09-03</t>
  </si>
  <si>
    <t xml:space="preserve">0000045012-24-000052</t>
  </si>
  <si>
    <t xml:space="preserve">third party gained access to certain systems</t>
  </si>
  <si>
    <t xml:space="preserve">https://www.sec.gov/Archives/edgar/data/45012/000004501224000052/hal-20240830.htm</t>
  </si>
  <si>
    <t xml:space="preserve">American Water Works Company, Inc.</t>
  </si>
  <si>
    <t xml:space="preserve">0001193125-24-233300</t>
  </si>
  <si>
    <t xml:space="preserve">unauthorized activity within its computer networks and systems</t>
  </si>
  <si>
    <t xml:space="preserve">https://www.sec.gov/Archives/edgar/data/1410636/000119312524233300/d869346d8k.htm</t>
  </si>
  <si>
    <t xml:space="preserve">HEALTHCARE SERVICES GROUP INC</t>
  </si>
  <si>
    <t xml:space="preserve">2024-10-16</t>
  </si>
  <si>
    <t xml:space="preserve">0000731012-24-000134</t>
  </si>
  <si>
    <t xml:space="preserve">unauthorized activity within some systems</t>
  </si>
  <si>
    <t xml:space="preserve">https://www.sec.gov/Archives/edgar/data/731012/000073101224000134/hcsg-20241009.htm</t>
  </si>
  <si>
    <t xml:space="preserve">NEWPARK RESOURCES INC</t>
  </si>
  <si>
    <t xml:space="preserve">2024-11-07</t>
  </si>
  <si>
    <t xml:space="preserve">0000071829-24-000111</t>
  </si>
  <si>
    <t xml:space="preserve">ransomware; third party accessed internal information systems</t>
  </si>
  <si>
    <t xml:space="preserve">https://www.sec.gov/Archives/edgar/data/71829/000007182924000111/nr-20241029.htm</t>
  </si>
  <si>
    <t xml:space="preserve">iLearningEngines, Inc.</t>
  </si>
  <si>
    <t xml:space="preserve">2024-11-18</t>
  </si>
  <si>
    <t xml:space="preserve">0001213900-24-099394</t>
  </si>
  <si>
    <t xml:space="preserve">threat actor accessed environment and files on its network; misdirected a wire payment</t>
  </si>
  <si>
    <t xml:space="preserve">misdirected wire, not recovered</t>
  </si>
  <si>
    <t xml:space="preserve">https://www.sec.gov/Archives/edgar/data/1835972/000121390024099394/ea0221424-8k_ilearning.htm</t>
  </si>
  <si>
    <t xml:space="preserve">ENGLOBAL CORP</t>
  </si>
  <si>
    <t xml:space="preserve">2024-12-02</t>
  </si>
  <si>
    <t xml:space="preserve">0001654954-24-015098</t>
  </si>
  <si>
    <t xml:space="preserve">threat actor accessed IT system and encrypted data files</t>
  </si>
  <si>
    <t xml:space="preserve">https://www.sec.gov/Archives/edgar/data/933738/000165495424015098/eng_8k.htm</t>
  </si>
  <si>
    <t xml:space="preserve">ARTIVION, INC.</t>
  </si>
  <si>
    <t xml:space="preserve">2024-12-09</t>
  </si>
  <si>
    <t xml:space="preserve">0000784199-24-000253</t>
  </si>
  <si>
    <t xml:space="preserve">acquisition and encryption of files</t>
  </si>
  <si>
    <t xml:space="preserve">https://www.sec.gov/Archives/edgar/data/784199/000078419924000253/aort-20241209.htm</t>
  </si>
  <si>
    <t xml:space="preserve">Krispy Kreme, Inc.</t>
  </si>
  <si>
    <t xml:space="preserve">2024-12-11</t>
  </si>
  <si>
    <t xml:space="preserve">0001857154-24-000123</t>
  </si>
  <si>
    <t xml:space="preserve">unauthorized activity on a portion of IT systems</t>
  </si>
  <si>
    <t xml:space="preserve">https://www.sec.gov/Archives/edgar/data/1857154/000185715424000123/dnut-20241211.htm</t>
  </si>
  <si>
    <t xml:space="preserve">LEE ENTERPRISES, Inc</t>
  </si>
  <si>
    <t xml:space="preserve">2025-02-18</t>
  </si>
  <si>
    <t xml:space="preserve">0001628280-25-005855</t>
  </si>
  <si>
    <t xml:space="preserve">threat actors accessed the Company's network and encrypted critical applications</t>
  </si>
  <si>
    <t xml:space="preserve">https://www.sec.gov/Archives/edgar/data/58361/000162828025005855/lee-20250212.htm</t>
  </si>
  <si>
    <t xml:space="preserve">NIOCORP DEVELOPMENTS LTD</t>
  </si>
  <si>
    <t xml:space="preserve">2025-02-19</t>
  </si>
  <si>
    <t xml:space="preserve">0001539497-25-000735</t>
  </si>
  <si>
    <t xml:space="preserve">unauthorized access to information and email systems; misdirected vendor payments</t>
  </si>
  <si>
    <t xml:space="preserve">misdirected payments, recovery uncertain</t>
  </si>
  <si>
    <t xml:space="preserve">https://www.sec.gov/Archives/edgar/data/1512228/000153949725000735/n2574_x251-8k.htm</t>
  </si>
  <si>
    <t xml:space="preserve">NATIONAL PRESTO INDUSTRIES INC</t>
  </si>
  <si>
    <t xml:space="preserve">2025-03-06</t>
  </si>
  <si>
    <t xml:space="preserve">0001437749-25-006475</t>
  </si>
  <si>
    <t xml:space="preserve">system outage caused by a cybersecurity incident</t>
  </si>
  <si>
    <t xml:space="preserve">https://www.sec.gov/Archives/edgar/data/80172/000143774925006475/npk20250306_8k.htm</t>
  </si>
  <si>
    <t xml:space="preserve">Sensata Technologies Holding plc</t>
  </si>
  <si>
    <t xml:space="preserve">2025-04-09</t>
  </si>
  <si>
    <t xml:space="preserve">0001477294-25-000047</t>
  </si>
  <si>
    <t xml:space="preserve">ransomware encrypted certain devices in the Company's network</t>
  </si>
  <si>
    <t xml:space="preserve">https://www.sec.gov/Archives/edgar/data/1477294/000147729425000047/st-20250406.htm</t>
  </si>
  <si>
    <t xml:space="preserve">CONDUENT Inc</t>
  </si>
  <si>
    <t xml:space="preserve">2025-04-14</t>
  </si>
  <si>
    <t xml:space="preserve">0001677703-25-000067</t>
  </si>
  <si>
    <t xml:space="preserve">threat actor accessed a limited portion of the environment</t>
  </si>
  <si>
    <t xml:space="preserve">material notification expenses, amount not stated</t>
  </si>
  <si>
    <t xml:space="preserve">https://www.sec.gov/Archives/edgar/data/1677703/000167770325000067/cndt-20250409.htm</t>
  </si>
  <si>
    <t xml:space="preserve">Global Crossing Airlines Group Inc.</t>
  </si>
  <si>
    <t xml:space="preserve">2025-05-09</t>
  </si>
  <si>
    <t xml:space="preserve">0000950170-25-068004</t>
  </si>
  <si>
    <t xml:space="preserve">unauthorized activity within computer networks; isolated the affected servers</t>
  </si>
  <si>
    <t xml:space="preserve">https://www.sec.gov/Archives/edgar/data/1846084/000095017025068004/jetmf-20250505.htm</t>
  </si>
  <si>
    <t xml:space="preserve">NUCOR CORP</t>
  </si>
  <si>
    <t xml:space="preserve">2025-05-14</t>
  </si>
  <si>
    <t xml:space="preserve">0001193125-25-119311</t>
  </si>
  <si>
    <t xml:space="preserve">unauthorized access to certain IT systems</t>
  </si>
  <si>
    <t xml:space="preserve">https://www.sec.gov/Archives/edgar/data/73309/000119312525119311/d795264d8k.htm</t>
  </si>
  <si>
    <t xml:space="preserve">Coinbase Global, Inc.</t>
  </si>
  <si>
    <t xml:space="preserve">2025-05-15</t>
  </si>
  <si>
    <t xml:space="preserve">0001679788-25-000094</t>
  </si>
  <si>
    <t xml:space="preserve">threat actor paid contractors or employees in support roles to collect data from internal systems</t>
  </si>
  <si>
    <t xml:space="preserve">preliminary estimate, remediation and customer reimbursement</t>
  </si>
  <si>
    <t xml:space="preserve">https://www.sec.gov/Archives/edgar/data/1679788/000167978825000094/coin-20250514.htm</t>
  </si>
  <si>
    <t xml:space="preserve">Zoomcar Holdings, Inc.</t>
  </si>
  <si>
    <t xml:space="preserve">2025-06-13</t>
  </si>
  <si>
    <t xml:space="preserve">0001213900-25-054319</t>
  </si>
  <si>
    <t xml:space="preserve">unauthorized access to a dataset of 8.4M users; location not stated (remediation mentions cloud and internal network)</t>
  </si>
  <si>
    <t xml:space="preserve">https://www.sec.gov/Archives/edgar/data/1854275/000121390025054319/ea0245724-8k_zoomcar.htm</t>
  </si>
  <si>
    <t xml:space="preserve">AFLAC INC</t>
  </si>
  <si>
    <t xml:space="preserve">2025-06-20</t>
  </si>
  <si>
    <t xml:space="preserve">0000004977-25-000128</t>
  </si>
  <si>
    <t xml:space="preserve">unauthorized access to its network</t>
  </si>
  <si>
    <t xml:space="preserve">https://www.sec.gov/Archives/edgar/data/4977/000000497725000128/afl-20250620.htm</t>
  </si>
  <si>
    <t xml:space="preserve">UNITED NATURAL FOODS INC</t>
  </si>
  <si>
    <t xml:space="preserve">2025-06-26</t>
  </si>
  <si>
    <t xml:space="preserve">0001020859-25-000036</t>
  </si>
  <si>
    <t xml:space="preserve">unauthorized activity on certain IT systems</t>
  </si>
  <si>
    <t xml:space="preserve">https://www.sec.gov/Archives/edgar/data/1020859/000102085925000036/unfi-20250621.htm</t>
  </si>
  <si>
    <t xml:space="preserve">ALASKA AIR GROUP, INC.</t>
  </si>
  <si>
    <t xml:space="preserve">2025-06-27</t>
  </si>
  <si>
    <t xml:space="preserve">0000766421-25-000023</t>
  </si>
  <si>
    <t xml:space="preserve">incident affecting Hawaiian Airlines IT systems</t>
  </si>
  <si>
    <t xml:space="preserve">https://www.sec.gov/Archives/edgar/data/766421/000076642125000023/alk-20250627.htm</t>
  </si>
  <si>
    <t xml:space="preserve">Ingram Micro Holding Corp</t>
  </si>
  <si>
    <t xml:space="preserve">2025-07-07</t>
  </si>
  <si>
    <t xml:space="preserve">0001628280-25-034372</t>
  </si>
  <si>
    <t xml:space="preserve">ransomware on certain internal systems</t>
  </si>
  <si>
    <t xml:space="preserve">https://www.sec.gov/Archives/edgar/data/1897762/000162828025034372/ingm-20250705.htm</t>
  </si>
  <si>
    <t xml:space="preserve">Inotiv, Inc.</t>
  </si>
  <si>
    <t xml:space="preserve">2025-08-18</t>
  </si>
  <si>
    <t xml:space="preserve">0001628280-25-040658</t>
  </si>
  <si>
    <t xml:space="preserve">threat actor encrypted systems; access to networks and systems impacted</t>
  </si>
  <si>
    <t xml:space="preserve">https://www.sec.gov/Archives/edgar/data/720154/000162828025040658/notv-20250808.htm</t>
  </si>
  <si>
    <t xml:space="preserve">DATA I/O CORP</t>
  </si>
  <si>
    <t xml:space="preserve">2025-08-21</t>
  </si>
  <si>
    <t xml:space="preserve">0001654954-25-009925</t>
  </si>
  <si>
    <t xml:space="preserve">ransomware originated from a vulnerability of a third-party firewall service provider</t>
  </si>
  <si>
    <t xml:space="preserve">Q3 2025 remediation expenses</t>
  </si>
  <si>
    <t xml:space="preserve">https://www.sec.gov/Archives/edgar/data/351998/000165495425009925/daio_8k.htm</t>
  </si>
  <si>
    <t xml:space="preserve">WYTEC INTERNATIONAL INC</t>
  </si>
  <si>
    <t xml:space="preserve">2025-08-29</t>
  </si>
  <si>
    <t xml:space="preserve">0001683168-25-006583</t>
  </si>
  <si>
    <t xml:space="preserve">website defaced; hosting not stated</t>
  </si>
  <si>
    <t xml:space="preserve">https://www.sec.gov/Archives/edgar/data/1560143/000168316825006583/wytec_8k.htm</t>
  </si>
  <si>
    <t xml:space="preserve">EVERTEC, Inc.</t>
  </si>
  <si>
    <t xml:space="preserve">2025-09-02</t>
  </si>
  <si>
    <t xml:space="preserve">0001559865-25-000043</t>
  </si>
  <si>
    <t xml:space="preserve">unauthorized transactions entered into Sinqia's Pix environment using legitimate IT vendors' credentials</t>
  </si>
  <si>
    <t xml:space="preserve">R$710M unauthorized transactions processed, partly recovered; not a company cost</t>
  </si>
  <si>
    <t xml:space="preserve">https://www.sec.gov/Archives/edgar/data/1559865/000155986525000043/evtc-20250829.htm</t>
  </si>
  <si>
    <t xml:space="preserve">RTX Corp</t>
  </si>
  <si>
    <t xml:space="preserve">2025-09-24</t>
  </si>
  <si>
    <t xml:space="preserve">0000101829-25-000036</t>
  </si>
  <si>
    <t xml:space="preserve">ransomware on systems supporting MUSE software, residing on customer-specific networks outside the RTX enterprise network</t>
  </si>
  <si>
    <t xml:space="preserve">https://www.sec.gov/Archives/edgar/data/101829/000010182925000036/rtx-20250919.htm</t>
  </si>
  <si>
    <t xml:space="preserve">BK Technologies Corp</t>
  </si>
  <si>
    <t xml:space="preserve">2025-10-06</t>
  </si>
  <si>
    <t xml:space="preserve">0001437749-25-030540</t>
  </si>
  <si>
    <t xml:space="preserve">suspicious activity involving IT systems</t>
  </si>
  <si>
    <t xml:space="preserve">https://www.sec.gov/Archives/edgar/data/2186/000143774925030540/bkti20251006_8k.htm</t>
  </si>
  <si>
    <t xml:space="preserve">F5, INC.</t>
  </si>
  <si>
    <t xml:space="preserve">2025-10-15</t>
  </si>
  <si>
    <t xml:space="preserve">0001048695-25-000149</t>
  </si>
  <si>
    <t xml:space="preserve">nation-state actor had long-term access to the BIG-IP product development environment and engineering knowledge platform</t>
  </si>
  <si>
    <t xml:space="preserve">https://www.sec.gov/Archives/edgar/data/1048695/000104869525000149/ffiv-20251015.htm</t>
  </si>
  <si>
    <t xml:space="preserve">JEWETT CAMERON TRADING CO LTD</t>
  </si>
  <si>
    <t xml:space="preserve">2025-10-21</t>
  </si>
  <si>
    <t xml:space="preserve">0001079973-25-001631</t>
  </si>
  <si>
    <t xml:space="preserve">encryption and monitoring software deployed to internal corporate IT systems</t>
  </si>
  <si>
    <t xml:space="preserve">https://www.sec.gov/Archives/edgar/data/885307/000107997325001631/jctc_8k.htm</t>
  </si>
  <si>
    <t xml:space="preserve">BayFirst Financial Corp.</t>
  </si>
  <si>
    <t xml:space="preserve">2025-10-30</t>
  </si>
  <si>
    <t xml:space="preserve">0001649739-25-000246</t>
  </si>
  <si>
    <t xml:space="preserve">incident at a third-party marketing services provider; limited to that provider's environment</t>
  </si>
  <si>
    <t xml:space="preserve">https://www.sec.gov/Archives/edgar/data/1649739/000164973925000246/bafn-20251028.htm</t>
  </si>
  <si>
    <t xml:space="preserve">Phoenix Education Partners, Inc.</t>
  </si>
  <si>
    <t xml:space="preserve">2025-12-02</t>
  </si>
  <si>
    <t xml:space="preserve">0000950142-25-003098</t>
  </si>
  <si>
    <t xml:space="preserve">ORACLE_EBS</t>
  </si>
  <si>
    <t xml:space="preserve">data exfiltrated by exploiting an unknown vulnerability in Oracle E-Business Suite</t>
  </si>
  <si>
    <t xml:space="preserve">hosting of Oracle EBS not stated</t>
  </si>
  <si>
    <t xml:space="preserve">https://www.sec.gov/Archives/edgar/data/1600222/000095014225003098/eh250711375_8k.htm</t>
  </si>
  <si>
    <t xml:space="preserve">Coupang, Inc.</t>
  </si>
  <si>
    <t xml:space="preserve">2025-12-16</t>
  </si>
  <si>
    <t xml:space="preserve">0001834584-25-000196</t>
  </si>
  <si>
    <t xml:space="preserve">a former employee obtained data on up to 33M customer accounts</t>
  </si>
  <si>
    <t xml:space="preserve">customer compensation vouchers (~1.685T won)</t>
  </si>
  <si>
    <t xml:space="preserve">https://www.sec.gov/Archives/edgar/data/1834584/000183458425000196/cpng-20251215.htm</t>
  </si>
  <si>
    <t xml:space="preserve">Midpoint (USD)</t>
  </si>
  <si>
    <t xml:space="preserve">What the figure is</t>
  </si>
  <si>
    <t xml:space="preserve">Incidents with a dollar figure</t>
  </si>
  <si>
    <t xml:space="preserve">Of those, environment stated</t>
  </si>
  <si>
    <t xml:space="preserve">Figures are as disclosed and not comparable: remediation expenses, misdirected payments, a preliminary range and customer vouchers.</t>
  </si>
  <si>
    <t xml:space="preserve">Code assigned</t>
  </si>
  <si>
    <t xml:space="preserve">Why it is a judgment call</t>
  </si>
  <si>
    <t xml:space="preserve">Your decision</t>
  </si>
  <si>
    <t xml:space="preserve">Dropbox Sign</t>
  </si>
  <si>
    <t xml:space="preserve">CLOUD / OTHER</t>
  </si>
  <si>
    <t xml:space="preserve">Coded cloud because Dropbox Sign is a hosted service; the filing never says "cloud".</t>
  </si>
  <si>
    <t xml:space="preserve">SouthState</t>
  </si>
  <si>
    <t xml:space="preserve">ONPREM / OTHER</t>
  </si>
  <si>
    <t xml:space="preserve">Coded on-premises from "isolated parts of its network".</t>
  </si>
  <si>
    <t xml:space="preserve">Radiant Logistics</t>
  </si>
  <si>
    <t xml:space="preserve">Coded on-premises from "isolate its Canadian operations from the rest of its network".</t>
  </si>
  <si>
    <t xml:space="preserve">AT&amp;T</t>
  </si>
  <si>
    <t xml:space="preserve">Cause left unknown. Press ties it to the Snowflake account breaches; the filing does not.</t>
  </si>
  <si>
    <t xml:space="preserve">Penske Automotive</t>
  </si>
  <si>
    <t xml:space="preserve">UND / THIRD_PARTY</t>
  </si>
  <si>
    <t xml:space="preserve">Unlike the other three CDK dealers, its filing does not say CDK's system was hosted.</t>
  </si>
  <si>
    <t xml:space="preserve">Globe Life</t>
  </si>
  <si>
    <t xml:space="preserve">UND / OTHER</t>
  </si>
  <si>
    <t xml:space="preserve">No readable incident text came through; filing should be re-read.</t>
  </si>
  <si>
    <t xml:space="preserve">Yellow cells: enter Keep, or the code you would assign instead.</t>
  </si>
  <si>
    <t xml:space="preserve">File date</t>
  </si>
  <si>
    <t xml:space="preserve">Form</t>
  </si>
  <si>
    <t xml:space="preserve">Item</t>
  </si>
  <si>
    <t xml:space="preserve">Screening result</t>
  </si>
  <si>
    <t xml:space="preserve">0001628280-24-014795</t>
  </si>
  <si>
    <t xml:space="preserve">3M CO  (MMM)</t>
  </si>
  <si>
    <t xml:space="preserve">2024-04-04</t>
  </si>
  <si>
    <t xml:space="preserve">8-K</t>
  </si>
  <si>
    <t xml:space="preserve">excluded: not an incident disclosure (phrase appears in risk factors, or no incident text)</t>
  </si>
  <si>
    <t xml:space="preserve">0000950170-25-084312</t>
  </si>
  <si>
    <t xml:space="preserve">ACCO BRANDS Corp  (ACCO)</t>
  </si>
  <si>
    <t xml:space="preserve">2025-06-10</t>
  </si>
  <si>
    <t xml:space="preserve">0001193125-25-021878</t>
  </si>
  <si>
    <t xml:space="preserve">ACELYRIN, Inc.  (SLRN)</t>
  </si>
  <si>
    <t xml:space="preserve">2025-02-06</t>
  </si>
  <si>
    <t xml:space="preserve">ADT Inc.  (ADT)</t>
  </si>
  <si>
    <t xml:space="preserve">incident (first filing)</t>
  </si>
  <si>
    <t xml:space="preserve">0001193125-25-163851</t>
  </si>
  <si>
    <t xml:space="preserve">ADVANCE AUTO PARTS INC  (AAP)</t>
  </si>
  <si>
    <t xml:space="preserve">2025-07-24</t>
  </si>
  <si>
    <t xml:space="preserve">AFLAC INC  (AFL)</t>
  </si>
  <si>
    <t xml:space="preserve">ALASKA AIR GROUP, INC.  (ALK)</t>
  </si>
  <si>
    <t xml:space="preserve">0001104659-25-010169</t>
  </si>
  <si>
    <t xml:space="preserve">ALUMIS INC.  (ALMS)</t>
  </si>
  <si>
    <t xml:space="preserve">0001193125-24-193425</t>
  </si>
  <si>
    <t xml:space="preserve">AMERICAN SUPERCONDUCTOR CORP /DE/  (AMSC)</t>
  </si>
  <si>
    <t xml:space="preserve">2024-08-05</t>
  </si>
  <si>
    <t xml:space="preserve">0001193125-25-314153</t>
  </si>
  <si>
    <t xml:space="preserve">2025-12-10</t>
  </si>
  <si>
    <t xml:space="preserve">ARTIVION, INC.  (AORT)</t>
  </si>
  <si>
    <t xml:space="preserve">AT&amp;T INC.  (T, TBB, TBC, T-PA, T-PC)</t>
  </si>
  <si>
    <t xml:space="preserve">0001193125-25-051083</t>
  </si>
  <si>
    <t xml:space="preserve">Acadia Healthcare Company, Inc.  (ACHC)</t>
  </si>
  <si>
    <t xml:space="preserve">2025-03-10</t>
  </si>
  <si>
    <t xml:space="preserve">excluded: notes offering</t>
  </si>
  <si>
    <t xml:space="preserve">Affirm Holdings, Inc.  (AFRM)</t>
  </si>
  <si>
    <t xml:space="preserve">American Water Works Company, Inc.  (AWK)</t>
  </si>
  <si>
    <t xml:space="preserve">0001104659-24-076349</t>
  </si>
  <si>
    <t xml:space="preserve">B&amp;G Foods, Inc.  (BGS)</t>
  </si>
  <si>
    <t xml:space="preserve">2024-06-28</t>
  </si>
  <si>
    <t xml:space="preserve">0001104659-25-064720</t>
  </si>
  <si>
    <t xml:space="preserve">2025-07-01</t>
  </si>
  <si>
    <t xml:space="preserve">0001104659-25-102342</t>
  </si>
  <si>
    <t xml:space="preserve">2025-10-27</t>
  </si>
  <si>
    <t xml:space="preserve">B. Riley Financial, Inc.  (RILY, RILYG, RILYK, RILYL, RILYM, RILYN, RILYP, RILYT, RILYZ)</t>
  </si>
  <si>
    <t xml:space="preserve">0001140361-24-042932</t>
  </si>
  <si>
    <t xml:space="preserve">BARNES GROUP INC  (B)</t>
  </si>
  <si>
    <t xml:space="preserve">BASSETT FURNITURE INDUSTRIES INC  (BSET)</t>
  </si>
  <si>
    <t xml:space="preserve">0001437749-24-024679</t>
  </si>
  <si>
    <t xml:space="preserve">2024-08-06</t>
  </si>
  <si>
    <t xml:space="preserve">8-K/A</t>
  </si>
  <si>
    <t xml:space="preserve">update of incident 31</t>
  </si>
  <si>
    <t xml:space="preserve">BK Technologies Corp  (BKTI)</t>
  </si>
  <si>
    <t xml:space="preserve">0001437749-25-036171</t>
  </si>
  <si>
    <t xml:space="preserve">BRAND HOUSE COLLECTIVE, INC.  (TBHC)</t>
  </si>
  <si>
    <t xml:space="preserve">2025-11-25</t>
  </si>
  <si>
    <t xml:space="preserve">0001193125-24-094769</t>
  </si>
  <si>
    <t xml:space="preserve">BRANDYWINE REALTY TRUST  (BDN)</t>
  </si>
  <si>
    <t xml:space="preserve">0001193125-24-147625</t>
  </si>
  <si>
    <t xml:space="preserve">2024-05-28</t>
  </si>
  <si>
    <t xml:space="preserve">update of incident 19</t>
  </si>
  <si>
    <t xml:space="preserve">0001193125-25-230150</t>
  </si>
  <si>
    <t xml:space="preserve">2025-10-03</t>
  </si>
  <si>
    <t xml:space="preserve">0000078890-24-000192</t>
  </si>
  <si>
    <t xml:space="preserve">BRINKS CO  (BCO)</t>
  </si>
  <si>
    <t xml:space="preserve">2024-06-05</t>
  </si>
  <si>
    <t xml:space="preserve">0000078890-24-000225</t>
  </si>
  <si>
    <t xml:space="preserve">BayFirst Financial Corp.  (BAFN)</t>
  </si>
  <si>
    <t xml:space="preserve">0001651308-24-000123</t>
  </si>
  <si>
    <t xml:space="preserve">BeiGene, Ltd.  (BGNE, BEIGF)</t>
  </si>
  <si>
    <t xml:space="preserve">2024-09-30</t>
  </si>
  <si>
    <t xml:space="preserve">0001193125-24-073962</t>
  </si>
  <si>
    <t xml:space="preserve">CANADIAN PACIFIC KANSAS CITY LTD/CN  (CP)</t>
  </si>
  <si>
    <t xml:space="preserve">2024-03-21</t>
  </si>
  <si>
    <t xml:space="preserve">0001193125-25-062642</t>
  </si>
  <si>
    <t xml:space="preserve">2025-03-25</t>
  </si>
  <si>
    <t xml:space="preserve">0001193125-25-114926</t>
  </si>
  <si>
    <t xml:space="preserve">CATALYST PHARMACEUTICALS, INC.  (CPRX)</t>
  </si>
  <si>
    <t xml:space="preserve">2025-05-07</t>
  </si>
  <si>
    <t xml:space="preserve">excluded: earnings release mentioning the Change Healthcare incident</t>
  </si>
  <si>
    <t xml:space="preserve">CONDUENT Inc  (CNDT)</t>
  </si>
  <si>
    <t xml:space="preserve">Cadre Holdings, Inc.  (CDRE)</t>
  </si>
  <si>
    <t xml:space="preserve">Cencora, Inc.  (COR)</t>
  </si>
  <si>
    <t xml:space="preserve">0001104659-24-084351</t>
  </si>
  <si>
    <t xml:space="preserve">2024-07-31</t>
  </si>
  <si>
    <t xml:space="preserve">update of incident 11</t>
  </si>
  <si>
    <t xml:space="preserve">Coinbase Global, Inc.  (COIN)</t>
  </si>
  <si>
    <t xml:space="preserve">Coupang, Inc.  (CPNG)</t>
  </si>
  <si>
    <t xml:space="preserve">0001834584-25-000202</t>
  </si>
  <si>
    <t xml:space="preserve">2025-12-29</t>
  </si>
  <si>
    <t xml:space="preserve">update of incident 68</t>
  </si>
  <si>
    <t xml:space="preserve">Crimson Wine Group, Ltd  (CWGL)</t>
  </si>
  <si>
    <t xml:space="preserve">0001562151-24-000032</t>
  </si>
  <si>
    <t xml:space="preserve">2024-07-25</t>
  </si>
  <si>
    <t xml:space="preserve">update of incident 29</t>
  </si>
  <si>
    <t xml:space="preserve">0001868419-25-000018</t>
  </si>
  <si>
    <t xml:space="preserve">Cycurion, Inc.  (CYCU, CYCUW)</t>
  </si>
  <si>
    <t xml:space="preserve">2025-11-14</t>
  </si>
  <si>
    <t xml:space="preserve">excluded: contract award; Nasdaq compliance</t>
  </si>
  <si>
    <t xml:space="preserve">DATA I/O CORP  (DAIO)</t>
  </si>
  <si>
    <t xml:space="preserve">0001654954-25-010613</t>
  </si>
  <si>
    <t xml:space="preserve">2025-09-10</t>
  </si>
  <si>
    <t xml:space="preserve">update of incident 59</t>
  </si>
  <si>
    <t xml:space="preserve">0001206774-25-000368</t>
  </si>
  <si>
    <t xml:space="preserve">DAVITA INC.  (DVA)</t>
  </si>
  <si>
    <t xml:space="preserve">2025-05-20</t>
  </si>
  <si>
    <t xml:space="preserve">0001206774-25-000369</t>
  </si>
  <si>
    <t xml:space="preserve">0001193125-24-273982</t>
  </si>
  <si>
    <t xml:space="preserve">DIEBOLD NIXDORF, Inc  (DBD)</t>
  </si>
  <si>
    <t xml:space="preserve">2024-12-10</t>
  </si>
  <si>
    <t xml:space="preserve">0001193125-24-275606</t>
  </si>
  <si>
    <t xml:space="preserve">DROPBOX, INC.  (DBX)</t>
  </si>
  <si>
    <t xml:space="preserve">DocGo Inc.  (DCGO)</t>
  </si>
  <si>
    <t xml:space="preserve">0001193125-25-052056</t>
  </si>
  <si>
    <t xml:space="preserve">ENBRIDGE INC  (ENB, EBBGF, EBBNF, EBGEF, EBRGF, EBRZF, ENBFF, ENBGF, ENBHF, ENBMF, ENBNF, ENBOF, ENBRF, ENBSF)</t>
  </si>
  <si>
    <t xml:space="preserve">2025-03-11</t>
  </si>
  <si>
    <t xml:space="preserve">0001193125-24-066167</t>
  </si>
  <si>
    <t xml:space="preserve">ENBRIDGE INC  (ENB, EBBGF, EBBNF, EBGEF, EBRGF, EBRZF, ENBFF, ENBGF, ENBHF, ENBMF, ENBNF, ENBOF, ENBRF, ENNPF)</t>
  </si>
  <si>
    <t xml:space="preserve">2024-03-13</t>
  </si>
  <si>
    <t xml:space="preserve">ENGLOBAL CORP  (ENG)</t>
  </si>
  <si>
    <t xml:space="preserve">0001654954-25-000798</t>
  </si>
  <si>
    <t xml:space="preserve">ENGLOBAL CORP  (ENGC)</t>
  </si>
  <si>
    <t xml:space="preserve">2025-01-27</t>
  </si>
  <si>
    <t xml:space="preserve">update of incident 42</t>
  </si>
  <si>
    <t xml:space="preserve">EVERTEC, Inc.  (EVTC)</t>
  </si>
  <si>
    <t xml:space="preserve">0001493152-24-047102</t>
  </si>
  <si>
    <t xml:space="preserve">Eastside Distilling, Inc.  (EAST)</t>
  </si>
  <si>
    <t xml:space="preserve">2024-11-21</t>
  </si>
  <si>
    <t xml:space="preserve">excluded: merger information</t>
  </si>
  <si>
    <t xml:space="preserve">0001104659-24-032682</t>
  </si>
  <si>
    <t xml:space="preserve">Equitrans Midstream Corp  (EQTNP)</t>
  </si>
  <si>
    <t xml:space="preserve">2024-03-11</t>
  </si>
  <si>
    <t xml:space="preserve">F5, INC.  (FFIV)</t>
  </si>
  <si>
    <t xml:space="preserve">0000798941-24-000042</t>
  </si>
  <si>
    <t xml:space="preserve">FIRST CITIZENS BANCSHARES INC /DE/  (FCNCA, FCNCB, FCNCO, FCNCP)</t>
  </si>
  <si>
    <t xml:space="preserve">2024-08-14</t>
  </si>
  <si>
    <t xml:space="preserve">Fidelity National Financial, Inc.  (FNF)</t>
  </si>
  <si>
    <t xml:space="preserve">0001193125-25-086294</t>
  </si>
  <si>
    <t xml:space="preserve">Fidelity National Information Services, Inc.  (FIS)</t>
  </si>
  <si>
    <t xml:space="preserve">2025-04-21</t>
  </si>
  <si>
    <t xml:space="preserve">First American Financial Corp  (FAF)</t>
  </si>
  <si>
    <t xml:space="preserve">0000950170-23-073848</t>
  </si>
  <si>
    <t xml:space="preserve">2023-12-29</t>
  </si>
  <si>
    <t xml:space="preserve">update of incident 2</t>
  </si>
  <si>
    <t xml:space="preserve">0000950170-24-004247</t>
  </si>
  <si>
    <t xml:space="preserve">2024-01-12</t>
  </si>
  <si>
    <t xml:space="preserve">Frontier Communications Parent, Inc.  (FYBR)</t>
  </si>
  <si>
    <t xml:space="preserve">0001140361-24-040148</t>
  </si>
  <si>
    <t xml:space="preserve">2024-09-05</t>
  </si>
  <si>
    <t xml:space="preserve">0001104659-25-036553</t>
  </si>
  <si>
    <t xml:space="preserve">GLOBAL PAYMENTS INC  (GPN)</t>
  </si>
  <si>
    <t xml:space="preserve">GLOBE LIFE INC.  (GL, GL-PD)</t>
  </si>
  <si>
    <t xml:space="preserve">GROUP 1 AUTOMOTIVE INC  (GPI)</t>
  </si>
  <si>
    <t xml:space="preserve">0000950170-24-084675</t>
  </si>
  <si>
    <t xml:space="preserve">Galaxy Gaming, Inc.  (GLXZ)</t>
  </si>
  <si>
    <t xml:space="preserve">2024-07-18</t>
  </si>
  <si>
    <t xml:space="preserve">Global Crossing Airlines Group Inc.  (JETBF, JETMF)</t>
  </si>
  <si>
    <t xml:space="preserve">0001140361-24-048072</t>
  </si>
  <si>
    <t xml:space="preserve">Greenbrook TMS Inc.  (GBNHF)</t>
  </si>
  <si>
    <t xml:space="preserve">2024-11-29</t>
  </si>
  <si>
    <t xml:space="preserve">HALLIBURTON CO  (HAL)</t>
  </si>
  <si>
    <t xml:space="preserve">HEALTHCARE SERVICES GROUP INC  (HCSG)</t>
  </si>
  <si>
    <t xml:space="preserve">0000773840-24-000054</t>
  </si>
  <si>
    <t xml:space="preserve">HONEYWELL INTERNATIONAL INC  (HON)</t>
  </si>
  <si>
    <t xml:space="preserve">2024-04-25</t>
  </si>
  <si>
    <t xml:space="preserve">Hewlett Packard Enterprise Co  (HPE)</t>
  </si>
  <si>
    <t xml:space="preserve">0001558370-24-000544</t>
  </si>
  <si>
    <t xml:space="preserve">Hilltop Holdings Inc.  (HTH)</t>
  </si>
  <si>
    <t xml:space="preserve">2024-01-25</t>
  </si>
  <si>
    <t xml:space="preserve">0001558370-24-005315</t>
  </si>
  <si>
    <t xml:space="preserve">0001558370-24-010192</t>
  </si>
  <si>
    <t xml:space="preserve">0001558370-24-013630</t>
  </si>
  <si>
    <t xml:space="preserve">2024-10-24</t>
  </si>
  <si>
    <t xml:space="preserve">0001558370-25-000545</t>
  </si>
  <si>
    <t xml:space="preserve">2025-01-30</t>
  </si>
  <si>
    <t xml:space="preserve">0001558370-25-005425</t>
  </si>
  <si>
    <t xml:space="preserve">2025-04-24</t>
  </si>
  <si>
    <t xml:space="preserve">0001558370-25-009545</t>
  </si>
  <si>
    <t xml:space="preserve">0001104659-25-101845</t>
  </si>
  <si>
    <t xml:space="preserve">2025-10-23</t>
  </si>
  <si>
    <t xml:space="preserve">0001466085-24-000113</t>
  </si>
  <si>
    <t xml:space="preserve">INDEPENDENCE REALTY TRUST, INC.  (IRT)</t>
  </si>
  <si>
    <t xml:space="preserve">0001140361-24-034518</t>
  </si>
  <si>
    <t xml:space="preserve">Independent Bank Group, Inc.  (IBTX)</t>
  </si>
  <si>
    <t xml:space="preserve">2024-07-29</t>
  </si>
  <si>
    <t xml:space="preserve">Ingram Micro Holding Corp  (INGM)</t>
  </si>
  <si>
    <t xml:space="preserve">Inotiv, Inc.  (NOTV)</t>
  </si>
  <si>
    <t xml:space="preserve">0001628280-25-042837</t>
  </si>
  <si>
    <t xml:space="preserve">2025-09-25</t>
  </si>
  <si>
    <t xml:space="preserve">update: securities litigation over the incident</t>
  </si>
  <si>
    <t xml:space="preserve">JEWETT CAMERON TRADING CO LTD  (JCTC)</t>
  </si>
  <si>
    <t xml:space="preserve">0001819848-25-000490</t>
  </si>
  <si>
    <t xml:space="preserve">Joby Aviation, Inc.  (JOBY, JOBY-WT)</t>
  </si>
  <si>
    <t xml:space="preserve">2025-08-04</t>
  </si>
  <si>
    <t xml:space="preserve">0001104659-24-113659</t>
  </si>
  <si>
    <t xml:space="preserve">Journey Medical Corp  (DERM)</t>
  </si>
  <si>
    <t xml:space="preserve">2024-11-04</t>
  </si>
  <si>
    <t xml:space="preserve">KEY TRONIC CORP  (KTCC)</t>
  </si>
  <si>
    <t xml:space="preserve">0000719733-24-000035</t>
  </si>
  <si>
    <t xml:space="preserve">update of incident 21</t>
  </si>
  <si>
    <t xml:space="preserve">0000719733-24-000047</t>
  </si>
  <si>
    <t xml:space="preserve">0001069258-25-000062</t>
  </si>
  <si>
    <t xml:space="preserve">KRATOS DEFENSE &amp; SECURITY SOLUTIONS, INC.  (KTOS)</t>
  </si>
  <si>
    <t xml:space="preserve">2025-11-07</t>
  </si>
  <si>
    <t xml:space="preserve">KULICKE &amp; SOFFA INDUSTRIES INC  (KLIC)</t>
  </si>
  <si>
    <t xml:space="preserve">Krispy Kreme, Inc.  (DNUT)</t>
  </si>
  <si>
    <t xml:space="preserve">LEE ENTERPRISES, Inc  (LEE)</t>
  </si>
  <si>
    <t xml:space="preserve">0001628280-25-010944</t>
  </si>
  <si>
    <t xml:space="preserve">update of incident 45</t>
  </si>
  <si>
    <t xml:space="preserve">LITHIA MOTORS INC  (LAD)</t>
  </si>
  <si>
    <t xml:space="preserve">0001213900-24-056190</t>
  </si>
  <si>
    <t xml:space="preserve">La Rosa Holdings Corp.  (LRHC)</t>
  </si>
  <si>
    <t xml:space="preserve">2024-06-26</t>
  </si>
  <si>
    <t xml:space="preserve">0001213900-24-095442</t>
  </si>
  <si>
    <t xml:space="preserve">Lomond Therapeutics Holdings, Inc.</t>
  </si>
  <si>
    <t xml:space="preserve">0001104659-25-078565</t>
  </si>
  <si>
    <t xml:space="preserve">Lulu's Fashion Lounge Holdings, Inc.  (LVLU)</t>
  </si>
  <si>
    <t xml:space="preserve">2025-08-14</t>
  </si>
  <si>
    <t xml:space="preserve">MARINEMAX INC  (HZO)</t>
  </si>
  <si>
    <t xml:space="preserve">0000950170-24-038881</t>
  </si>
  <si>
    <t xml:space="preserve">2024-04-01</t>
  </si>
  <si>
    <t xml:space="preserve">update of incident 13</t>
  </si>
  <si>
    <t xml:space="preserve">0000927653-24-000110</t>
  </si>
  <si>
    <t xml:space="preserve">MCKESSON CORP  (MCK)</t>
  </si>
  <si>
    <t xml:space="preserve">2024-09-10</t>
  </si>
  <si>
    <t xml:space="preserve">0001628280-25-028495</t>
  </si>
  <si>
    <t xml:space="preserve">2025-05-30</t>
  </si>
  <si>
    <t xml:space="preserve">META MATERIALS INC.  (MMATQ)</t>
  </si>
  <si>
    <t xml:space="preserve">0000789570-25-000019</t>
  </si>
  <si>
    <t xml:space="preserve">MGM Resorts International  (MGM)</t>
  </si>
  <si>
    <t xml:space="preserve">2025-04-30</t>
  </si>
  <si>
    <t xml:space="preserve">MICROCHIP TECHNOLOGY INC  (MCHP)</t>
  </si>
  <si>
    <t xml:space="preserve">0000827054-24-000181</t>
  </si>
  <si>
    <t xml:space="preserve">2024-09-04</t>
  </si>
  <si>
    <t xml:space="preserve">update of incident 36</t>
  </si>
  <si>
    <t xml:space="preserve">MICROSOFT CORP  (MSFT)</t>
  </si>
  <si>
    <t xml:space="preserve">0001193125-24-062997</t>
  </si>
  <si>
    <t xml:space="preserve">2024-03-08</t>
  </si>
  <si>
    <t xml:space="preserve">update of incident 5</t>
  </si>
  <si>
    <t xml:space="preserve">0001193125-25-001854</t>
  </si>
  <si>
    <t xml:space="preserve">MICROSTRATEGY Inc  (MSTR)</t>
  </si>
  <si>
    <t xml:space="preserve">2025-01-06</t>
  </si>
  <si>
    <t xml:space="preserve">0000950170-25-094137</t>
  </si>
  <si>
    <t xml:space="preserve">MICROSTRATEGY Inc  (MSTR, STRD, STRF, STRK)</t>
  </si>
  <si>
    <t xml:space="preserve">0001193125-25-073989</t>
  </si>
  <si>
    <t xml:space="preserve">MICROSTRATEGY Inc  (MSTR, STRF, STRK)</t>
  </si>
  <si>
    <t xml:space="preserve">2025-04-07</t>
  </si>
  <si>
    <t xml:space="preserve">0001140361-25-029079</t>
  </si>
  <si>
    <t xml:space="preserve">MasterBrand, Inc.  (MBC)</t>
  </si>
  <si>
    <t xml:space="preserve">2025-08-06</t>
  </si>
  <si>
    <t xml:space="preserve">0001140361-25-033560</t>
  </si>
  <si>
    <t xml:space="preserve">Mechanics Bancorp  (HMST)</t>
  </si>
  <si>
    <t xml:space="preserve">NATIONAL PRESTO INDUSTRIES INC  (NPK)</t>
  </si>
  <si>
    <t xml:space="preserve">NEWPARK RESOURCES INC  (NR)</t>
  </si>
  <si>
    <t xml:space="preserve">NIOCORP DEVELOPMENTS LTD  (NB, NIOBW)</t>
  </si>
  <si>
    <t xml:space="preserve">0001193125-25-167156</t>
  </si>
  <si>
    <t xml:space="preserve">NORFOLK SOUTHERN CORP  (NSC)</t>
  </si>
  <si>
    <t xml:space="preserve">2025-07-29</t>
  </si>
  <si>
    <t xml:space="preserve">0001193125-25-270037</t>
  </si>
  <si>
    <t xml:space="preserve">2025-11-06</t>
  </si>
  <si>
    <t xml:space="preserve">NUCOR CORP  (NUE)</t>
  </si>
  <si>
    <t xml:space="preserve">0001193125-25-143135</t>
  </si>
  <si>
    <t xml:space="preserve">update of incident 51</t>
  </si>
  <si>
    <t xml:space="preserve">0001475841-24-000047</t>
  </si>
  <si>
    <t xml:space="preserve">National Bank Holdings Corp  (NBHC)</t>
  </si>
  <si>
    <t xml:space="preserve">2024-10-22</t>
  </si>
  <si>
    <t xml:space="preserve">0001475841-25-000003</t>
  </si>
  <si>
    <t xml:space="preserve">2025-01-22</t>
  </si>
  <si>
    <t xml:space="preserve">ORASURE TECHNOLOGIES INC  (OSUR)</t>
  </si>
  <si>
    <t xml:space="preserve">0001579877-24-000003</t>
  </si>
  <si>
    <t xml:space="preserve">OUTFRONT Media Inc.  (OUT)</t>
  </si>
  <si>
    <t xml:space="preserve">2024-02-21</t>
  </si>
  <si>
    <t xml:space="preserve">0001579877-24-000044</t>
  </si>
  <si>
    <t xml:space="preserve">2024-05-02</t>
  </si>
  <si>
    <t xml:space="preserve">0001579877-24-000066</t>
  </si>
  <si>
    <t xml:space="preserve">2024-06-10</t>
  </si>
  <si>
    <t xml:space="preserve">0001579877-24-000083</t>
  </si>
  <si>
    <t xml:space="preserve">0001579877-24-000088</t>
  </si>
  <si>
    <t xml:space="preserve">2024-11-12</t>
  </si>
  <si>
    <t xml:space="preserve">0001579877-25-000029</t>
  </si>
  <si>
    <t xml:space="preserve">2025-02-25</t>
  </si>
  <si>
    <t xml:space="preserve">0001579877-25-000055</t>
  </si>
  <si>
    <t xml:space="preserve">2025-05-08</t>
  </si>
  <si>
    <t xml:space="preserve">0001579877-25-000101</t>
  </si>
  <si>
    <t xml:space="preserve">2025-08-05</t>
  </si>
  <si>
    <t xml:space="preserve">0001579877-25-000116</t>
  </si>
  <si>
    <t xml:space="preserve">0001660134-25-000156</t>
  </si>
  <si>
    <t xml:space="preserve">Okta, Inc.  (OKTA)</t>
  </si>
  <si>
    <t xml:space="preserve">2025-08-26</t>
  </si>
  <si>
    <t xml:space="preserve">excluded: derivative litigation over a 2023 incident</t>
  </si>
  <si>
    <t xml:space="preserve">0001628280-24-013613</t>
  </si>
  <si>
    <t xml:space="preserve">P3 Health Partners Inc.  (PIII, PIIIW)</t>
  </si>
  <si>
    <t xml:space="preserve">2024-03-28</t>
  </si>
  <si>
    <t xml:space="preserve">PENSKE AUTOMOTIVE GROUP, INC.  (PAG)</t>
  </si>
  <si>
    <t xml:space="preserve">0001104659-25-124540</t>
  </si>
  <si>
    <t xml:space="preserve">PEOPLES FINANCIAL SERVICES CORP.  (PFIS)</t>
  </si>
  <si>
    <t xml:space="preserve">0001193125-24-131525</t>
  </si>
  <si>
    <t xml:space="preserve">PERFICIENT INC  (PRFT)</t>
  </si>
  <si>
    <t xml:space="preserve">2024-05-06</t>
  </si>
  <si>
    <t xml:space="preserve">0001808834-24-000020</t>
  </si>
  <si>
    <t xml:space="preserve">PROG Holdings, Inc.  (PRG)</t>
  </si>
  <si>
    <t xml:space="preserve">PRUDENTIAL FINANCIAL INC  (PFH, PRH, PRS, PRU)</t>
  </si>
  <si>
    <t xml:space="preserve">0001193125-24-040749</t>
  </si>
  <si>
    <t xml:space="preserve">update of incident 9</t>
  </si>
  <si>
    <t xml:space="preserve">0001883085-25-000204</t>
  </si>
  <si>
    <t xml:space="preserve">Pagaya Technologies Ltd.  (PGY, PGYWW)</t>
  </si>
  <si>
    <t xml:space="preserve">2025-12-05</t>
  </si>
  <si>
    <t xml:space="preserve">0001193125-24-212690</t>
  </si>
  <si>
    <t xml:space="preserve">Performance Food Group Co  (PFGC)</t>
  </si>
  <si>
    <t xml:space="preserve">0001193125-24-213191</t>
  </si>
  <si>
    <t xml:space="preserve">0000950170-25-078073</t>
  </si>
  <si>
    <t xml:space="preserve">2025-05-28</t>
  </si>
  <si>
    <t xml:space="preserve">0001193125-25-204256</t>
  </si>
  <si>
    <t xml:space="preserve">2025-09-16</t>
  </si>
  <si>
    <t xml:space="preserve">0001193125-25-291981</t>
  </si>
  <si>
    <t xml:space="preserve">2025-11-24</t>
  </si>
  <si>
    <t xml:space="preserve">Phoenix Education Partners, Inc.  (PXED)</t>
  </si>
  <si>
    <t xml:space="preserve">0001193125-25-023144</t>
  </si>
  <si>
    <t xml:space="preserve">Playa Hotels &amp; Resorts N.V.  (PLYA)</t>
  </si>
  <si>
    <t xml:space="preserve">2025-02-10</t>
  </si>
  <si>
    <t xml:space="preserve">0001558370-25-009107</t>
  </si>
  <si>
    <t xml:space="preserve">Quipt Home Medical Corp.  (QIPT)</t>
  </si>
  <si>
    <t xml:space="preserve">excluded: acquisition agreement</t>
  </si>
  <si>
    <t xml:space="preserve">0001558370-25-011243</t>
  </si>
  <si>
    <t xml:space="preserve">2025-08-12</t>
  </si>
  <si>
    <t xml:space="preserve">RADIANT LOGISTICS, INC  (RLGT)</t>
  </si>
  <si>
    <t xml:space="preserve">0001628280-24-006513</t>
  </si>
  <si>
    <t xml:space="preserve">RB GLOBAL INC.  (RBA)</t>
  </si>
  <si>
    <t xml:space="preserve">2024-02-23</t>
  </si>
  <si>
    <t xml:space="preserve">0001193125-24-137318</t>
  </si>
  <si>
    <t xml:space="preserve">REINSURANCE GROUP OF AMERICA INC  (RGA, RZB, RZC)</t>
  </si>
  <si>
    <t xml:space="preserve">2024-05-13</t>
  </si>
  <si>
    <t xml:space="preserve">0001193125-25-044106</t>
  </si>
  <si>
    <t xml:space="preserve">2025-03-03</t>
  </si>
  <si>
    <t xml:space="preserve">RTX Corp  (RTX)</t>
  </si>
  <si>
    <t xml:space="preserve">SONIC AUTOMOTIVE INC  (SAH)</t>
  </si>
  <si>
    <t xml:space="preserve">0001043509-24-000060</t>
  </si>
  <si>
    <t xml:space="preserve">update of incident 25</t>
  </si>
  <si>
    <t xml:space="preserve">0001043509-24-000063</t>
  </si>
  <si>
    <t xml:space="preserve">0001193125-25-019298</t>
  </si>
  <si>
    <t xml:space="preserve">Sandisk Corp  (SNDK)</t>
  </si>
  <si>
    <t xml:space="preserve">2025-02-03</t>
  </si>
  <si>
    <t xml:space="preserve">Sensata Technologies Holding plc  (ST)</t>
  </si>
  <si>
    <t xml:space="preserve">0001477294-25-000128</t>
  </si>
  <si>
    <t xml:space="preserve">2025-10-28</t>
  </si>
  <si>
    <t xml:space="preserve">0001193125-25-028625</t>
  </si>
  <si>
    <t xml:space="preserve">Shift4 Payments, Inc.  (FOUR)</t>
  </si>
  <si>
    <t xml:space="preserve">0001628280-24-014887</t>
  </si>
  <si>
    <t xml:space="preserve">Solventum Corp  (SOLV)</t>
  </si>
  <si>
    <t xml:space="preserve">SouthState Corp  (SSB)</t>
  </si>
  <si>
    <t xml:space="preserve">0001558370-24-004390</t>
  </si>
  <si>
    <t xml:space="preserve">2024-03-29</t>
  </si>
  <si>
    <t xml:space="preserve">update of incident 7</t>
  </si>
  <si>
    <t xml:space="preserve">0001104659-24-076479</t>
  </si>
  <si>
    <t xml:space="preserve">Spirit AeroSystems Holdings, Inc.  (SPR)</t>
  </si>
  <si>
    <t xml:space="preserve">0001193125-25-230977</t>
  </si>
  <si>
    <t xml:space="preserve">Strategy Inc  (MSTR, STRC, STRD, STRF, STRK)</t>
  </si>
  <si>
    <t xml:space="preserve">0001104659-25-105334</t>
  </si>
  <si>
    <t xml:space="preserve">Stride, Inc.  (LRN)</t>
  </si>
  <si>
    <t xml:space="preserve">2025-11-03</t>
  </si>
  <si>
    <t xml:space="preserve">0001104659-24-030001</t>
  </si>
  <si>
    <t xml:space="preserve">TTEC Holdings, Inc.  (TTEC)</t>
  </si>
  <si>
    <t xml:space="preserve">0001104659-25-018285</t>
  </si>
  <si>
    <t xml:space="preserve">2025-02-27</t>
  </si>
  <si>
    <t xml:space="preserve">0001193125-25-167154</t>
  </si>
  <si>
    <t xml:space="preserve">UNION PACIFIC CORP  (UNP)</t>
  </si>
  <si>
    <t xml:space="preserve">0001193125-25-270046</t>
  </si>
  <si>
    <t xml:space="preserve">0000100885-25-000332</t>
  </si>
  <si>
    <t xml:space="preserve">2025-11-17</t>
  </si>
  <si>
    <t xml:space="preserve">0000746838-24-000025</t>
  </si>
  <si>
    <t xml:space="preserve">UNISYS CORP  (UIS)</t>
  </si>
  <si>
    <t xml:space="preserve">excluded: SEC settlement over 2022 disclosures, no new incident</t>
  </si>
  <si>
    <t xml:space="preserve">UNITED NATURAL FOODS INC  (UNFI)</t>
  </si>
  <si>
    <t xml:space="preserve">UNITEDHEALTH GROUP INC  (UNH)</t>
  </si>
  <si>
    <t xml:space="preserve">0000731766-24-000085</t>
  </si>
  <si>
    <t xml:space="preserve">update of incident 10</t>
  </si>
  <si>
    <t xml:space="preserve">0000731766-24-000150</t>
  </si>
  <si>
    <t xml:space="preserve">2024-04-24</t>
  </si>
  <si>
    <t xml:space="preserve">0001628280-25-046810</t>
  </si>
  <si>
    <t xml:space="preserve">Ultra Clean Holdings, Inc.  (UCTT)</t>
  </si>
  <si>
    <t xml:space="preserve">V F CORP  (VFC)</t>
  </si>
  <si>
    <t xml:space="preserve">0001193125-24-010243</t>
  </si>
  <si>
    <t xml:space="preserve">2024-01-18</t>
  </si>
  <si>
    <t xml:space="preserve">update of incident 1</t>
  </si>
  <si>
    <t xml:space="preserve">0001967649-24-000014</t>
  </si>
  <si>
    <t xml:space="preserve">Vestis Corp  (VSTS)</t>
  </si>
  <si>
    <t xml:space="preserve">2024-02-20</t>
  </si>
  <si>
    <t xml:space="preserve">0001967649-24-000029</t>
  </si>
  <si>
    <t xml:space="preserve">2024-05-23</t>
  </si>
  <si>
    <t xml:space="preserve">0001140361-24-030630</t>
  </si>
  <si>
    <t xml:space="preserve">2024-06-20</t>
  </si>
  <si>
    <t xml:space="preserve">0001967649-24-000047</t>
  </si>
  <si>
    <t xml:space="preserve">2024-08-19</t>
  </si>
  <si>
    <t xml:space="preserve">0001193125-25-019294</t>
  </si>
  <si>
    <t xml:space="preserve">WESTERN DIGITAL CORP  (WDC)</t>
  </si>
  <si>
    <t xml:space="preserve">WILLIS LEASE FINANCE CORP  (WLFC)</t>
  </si>
  <si>
    <t xml:space="preserve">WYTEC INTERNATIONAL INC  (WYTC)</t>
  </si>
  <si>
    <t xml:space="preserve">0001193125-25-161550</t>
  </si>
  <si>
    <t xml:space="preserve">ZimVie Inc.  (ZIMV)</t>
  </si>
  <si>
    <t xml:space="preserve">2025-07-21</t>
  </si>
  <si>
    <t xml:space="preserve">Zoomcar Holdings, Inc.  (ZCAR, ZCARW)</t>
  </si>
  <si>
    <t xml:space="preserve">0001493152-25-001580</t>
  </si>
  <si>
    <t xml:space="preserve">fuboTV Inc. /FL  (FUBO)</t>
  </si>
  <si>
    <t xml:space="preserve">2025-01-10</t>
  </si>
  <si>
    <t xml:space="preserve">iLearningEngines, Inc.  (AILE, AILEW)</t>
  </si>
  <si>
    <t xml:space="preserve">loanDepot, Inc.  (LDI)</t>
  </si>
  <si>
    <t xml:space="preserve">0001831631-24-000011</t>
  </si>
  <si>
    <t xml:space="preserve">2024-01-22</t>
  </si>
  <si>
    <t xml:space="preserve">update of incident 3</t>
  </si>
  <si>
    <t xml:space="preserve">0001831631-24-000020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</si>
</sst>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00"/>
    <numFmt numFmtId="167" formatCode="0.0E+00"/>
    <numFmt numFmtId="168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u val="single"/>
      <sz val="10"/>
      <color rgb="FF0563C1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sec.gov/Archives/edgar/data/103379/000095012323011228/d659095d8k.htm" TargetMode="External"/><Relationship Id="rId3" Type="http://schemas.openxmlformats.org/officeDocument/2006/relationships/hyperlink" Target="https://www.sec.gov/Archives/edgar/data/1472787/000095017023072513/faf-20231220.htm" TargetMode="External"/><Relationship Id="rId4" Type="http://schemas.openxmlformats.org/officeDocument/2006/relationships/hyperlink" Target="https://www.sec.gov/Archives/edgar/data/1831631/000183163124000004/ldi-20240104.htm" TargetMode="External"/><Relationship Id="rId5" Type="http://schemas.openxmlformats.org/officeDocument/2006/relationships/hyperlink" Target="https://www.sec.gov/Archives/edgar/data/1331875/000133187524000005/fnf-20231119.htm" TargetMode="External"/><Relationship Id="rId6" Type="http://schemas.openxmlformats.org/officeDocument/2006/relationships/hyperlink" Target="https://www.sec.gov/Archives/edgar/data/789019/000119312524011295/d708866d8k.htm" TargetMode="External"/><Relationship Id="rId7" Type="http://schemas.openxmlformats.org/officeDocument/2006/relationships/hyperlink" Target="https://www.sec.gov/Archives/edgar/data/1645590/000164559024000009/hpe-20240119.htm" TargetMode="External"/><Relationship Id="rId8" Type="http://schemas.openxmlformats.org/officeDocument/2006/relationships/hyperlink" Target="https://www.sec.gov/Archives/edgar/data/764038/000095010324002017/dp206600_8k.htm" TargetMode="External"/><Relationship Id="rId9" Type="http://schemas.openxmlformats.org/officeDocument/2006/relationships/hyperlink" Target="https://www.sec.gov/Archives/edgar/data/1018164/000101816424000005/wlfc-20240209.htm" TargetMode="External"/><Relationship Id="rId10" Type="http://schemas.openxmlformats.org/officeDocument/2006/relationships/hyperlink" Target="https://www.sec.gov/Archives/edgar/data/1137774/000119312524033753/d770643d8k.htm" TargetMode="External"/><Relationship Id="rId11" Type="http://schemas.openxmlformats.org/officeDocument/2006/relationships/hyperlink" Target="https://www.sec.gov/Archives/edgar/data/731766/000073176624000045/unh-20240221.htm" TargetMode="External"/><Relationship Id="rId12" Type="http://schemas.openxmlformats.org/officeDocument/2006/relationships/hyperlink" Target="https://www.sec.gov/Archives/edgar/data/1140859/000110465924028288/tm247267d1_8k.htm" TargetMode="External"/><Relationship Id="rId13" Type="http://schemas.openxmlformats.org/officeDocument/2006/relationships/hyperlink" Target="https://www.sec.gov/Archives/edgar/data/1329842/000165495424002505/fhlbny_8k.htm" TargetMode="External"/><Relationship Id="rId14" Type="http://schemas.openxmlformats.org/officeDocument/2006/relationships/hyperlink" Target="https://www.sec.gov/Archives/edgar/data/1057060/000095017024030041/hzo-20240310.htm" TargetMode="External"/><Relationship Id="rId15" Type="http://schemas.openxmlformats.org/officeDocument/2006/relationships/hyperlink" Target="https://www.sec.gov/Archives/edgar/data/1171155/000095017024033954/rlgt-20240319.htm" TargetMode="External"/><Relationship Id="rId16" Type="http://schemas.openxmlformats.org/officeDocument/2006/relationships/hyperlink" Target="https://www.sec.gov/Archives/edgar/data/1464790/000121390024031252/ea0203500-8k_briley.htm" TargetMode="External"/><Relationship Id="rId17" Type="http://schemas.openxmlformats.org/officeDocument/2006/relationships/hyperlink" Target="https://www.sec.gov/Archives/edgar/data/1116463/000119312524094797/d825009d8k.htm" TargetMode="External"/><Relationship Id="rId18" Type="http://schemas.openxmlformats.org/officeDocument/2006/relationships/hyperlink" Target="https://www.sec.gov/Archives/edgar/data/20520/000119312524100764/d784189d8k.htm" TargetMode="External"/><Relationship Id="rId19" Type="http://schemas.openxmlformats.org/officeDocument/2006/relationships/hyperlink" Target="https://www.sec.gov/Archives/edgar/data/1467623/000146762324000024/dbx-20240429.htm" TargetMode="External"/><Relationship Id="rId20" Type="http://schemas.openxmlformats.org/officeDocument/2006/relationships/hyperlink" Target="https://www.sec.gov/Archives/edgar/data/790816/000119312524133132/d824906d8k.htm" TargetMode="External"/><Relationship Id="rId21" Type="http://schemas.openxmlformats.org/officeDocument/2006/relationships/hyperlink" Target="https://www.sec.gov/Archives/edgar/data/1822359/000182235924000037/dcgo-20240507.htm" TargetMode="External"/><Relationship Id="rId22" Type="http://schemas.openxmlformats.org/officeDocument/2006/relationships/hyperlink" Target="https://www.sec.gov/Archives/edgar/data/719733/000071973324000015/ktcc-20240506.htm" TargetMode="External"/><Relationship Id="rId23" Type="http://schemas.openxmlformats.org/officeDocument/2006/relationships/hyperlink" Target="https://www.sec.gov/Archives/edgar/data/56978/000005697824000075/klic-20240528.htm" TargetMode="External"/><Relationship Id="rId24" Type="http://schemas.openxmlformats.org/officeDocument/2006/relationships/hyperlink" Target="https://www.sec.gov/Archives/edgar/data/320335/000032033524000029/gl-20240614.htm" TargetMode="External"/><Relationship Id="rId25" Type="http://schemas.openxmlformats.org/officeDocument/2006/relationships/hyperlink" Target="https://www.sec.gov/Archives/edgar/data/1019849/000101984924000089/pag-20240619.htm" TargetMode="External"/><Relationship Id="rId26" Type="http://schemas.openxmlformats.org/officeDocument/2006/relationships/hyperlink" Target="https://www.sec.gov/Archives/edgar/data/1043509/000104350924000059/sah-20240619.htm" TargetMode="External"/><Relationship Id="rId27" Type="http://schemas.openxmlformats.org/officeDocument/2006/relationships/hyperlink" Target="https://www.sec.gov/Archives/edgar/data/1031203/000103120324000048/gpi-20240619.htm" TargetMode="External"/><Relationship Id="rId28" Type="http://schemas.openxmlformats.org/officeDocument/2006/relationships/hyperlink" Target="https://www.sec.gov/Archives/edgar/data/1023128/000102312824000079/lad-20240619.htm" TargetMode="External"/><Relationship Id="rId29" Type="http://schemas.openxmlformats.org/officeDocument/2006/relationships/hyperlink" Target="https://www.sec.gov/Archives/edgar/data/1820953/000182095324000027/afrm-20240625.htm" TargetMode="External"/><Relationship Id="rId30" Type="http://schemas.openxmlformats.org/officeDocument/2006/relationships/hyperlink" Target="https://www.sec.gov/Archives/edgar/data/1562151/000156215124000030/cwgl-20240630.htm" TargetMode="External"/><Relationship Id="rId31" Type="http://schemas.openxmlformats.org/officeDocument/2006/relationships/hyperlink" Target="https://www.sec.gov/Archives/edgar/data/732717/000073271724000046/t-20240506.htm" TargetMode="External"/><Relationship Id="rId32" Type="http://schemas.openxmlformats.org/officeDocument/2006/relationships/hyperlink" Target="https://www.sec.gov/Archives/edgar/data/10329/000143774924022743/bset20240715_8k.htm" TargetMode="External"/><Relationship Id="rId33" Type="http://schemas.openxmlformats.org/officeDocument/2006/relationships/hyperlink" Target="https://www.sec.gov/Archives/edgar/data/1860543/000110465924081176/tm2419841d1_8k.htm" TargetMode="External"/><Relationship Id="rId34" Type="http://schemas.openxmlformats.org/officeDocument/2006/relationships/hyperlink" Target="https://www.sec.gov/Archives/edgar/data/1431959/000095017024089345/mmat-20240725.htm" TargetMode="External"/><Relationship Id="rId35" Type="http://schemas.openxmlformats.org/officeDocument/2006/relationships/hyperlink" Target="https://www.sec.gov/Archives/edgar/data/1703056/000095015724001064/form8k.htm" TargetMode="External"/><Relationship Id="rId36" Type="http://schemas.openxmlformats.org/officeDocument/2006/relationships/hyperlink" Target="https://www.sec.gov/Archives/edgar/data/1703056/000119312524233900/d876174d8k.htm" TargetMode="External"/><Relationship Id="rId37" Type="http://schemas.openxmlformats.org/officeDocument/2006/relationships/hyperlink" Target="https://www.sec.gov/Archives/edgar/data/827054/000082705424000153/mchp-20240820.htm" TargetMode="External"/><Relationship Id="rId38" Type="http://schemas.openxmlformats.org/officeDocument/2006/relationships/hyperlink" Target="https://www.sec.gov/Archives/edgar/data/45012/000004501224000052/hal-20240830.htm" TargetMode="External"/><Relationship Id="rId39" Type="http://schemas.openxmlformats.org/officeDocument/2006/relationships/hyperlink" Target="https://www.sec.gov/Archives/edgar/data/1410636/000119312524233300/d869346d8k.htm" TargetMode="External"/><Relationship Id="rId40" Type="http://schemas.openxmlformats.org/officeDocument/2006/relationships/hyperlink" Target="https://www.sec.gov/Archives/edgar/data/731012/000073101224000134/hcsg-20241009.htm" TargetMode="External"/><Relationship Id="rId41" Type="http://schemas.openxmlformats.org/officeDocument/2006/relationships/hyperlink" Target="https://www.sec.gov/Archives/edgar/data/71829/000007182924000111/nr-20241029.htm" TargetMode="External"/><Relationship Id="rId42" Type="http://schemas.openxmlformats.org/officeDocument/2006/relationships/hyperlink" Target="https://www.sec.gov/Archives/edgar/data/1835972/000121390024099394/ea0221424-8k_ilearning.htm" TargetMode="External"/><Relationship Id="rId43" Type="http://schemas.openxmlformats.org/officeDocument/2006/relationships/hyperlink" Target="https://www.sec.gov/Archives/edgar/data/933738/000165495424015098/eng_8k.htm" TargetMode="External"/><Relationship Id="rId44" Type="http://schemas.openxmlformats.org/officeDocument/2006/relationships/hyperlink" Target="https://www.sec.gov/Archives/edgar/data/784199/000078419924000253/aort-20241209.htm" TargetMode="External"/><Relationship Id="rId45" Type="http://schemas.openxmlformats.org/officeDocument/2006/relationships/hyperlink" Target="https://www.sec.gov/Archives/edgar/data/1857154/000185715424000123/dnut-20241211.htm" TargetMode="External"/><Relationship Id="rId46" Type="http://schemas.openxmlformats.org/officeDocument/2006/relationships/hyperlink" Target="https://www.sec.gov/Archives/edgar/data/58361/000162828025005855/lee-20250212.htm" TargetMode="External"/><Relationship Id="rId47" Type="http://schemas.openxmlformats.org/officeDocument/2006/relationships/hyperlink" Target="https://www.sec.gov/Archives/edgar/data/1512228/000153949725000735/n2574_x251-8k.htm" TargetMode="External"/><Relationship Id="rId48" Type="http://schemas.openxmlformats.org/officeDocument/2006/relationships/hyperlink" Target="https://www.sec.gov/Archives/edgar/data/80172/000143774925006475/npk20250306_8k.htm" TargetMode="External"/><Relationship Id="rId49" Type="http://schemas.openxmlformats.org/officeDocument/2006/relationships/hyperlink" Target="https://www.sec.gov/Archives/edgar/data/1477294/000147729425000047/st-20250406.htm" TargetMode="External"/><Relationship Id="rId50" Type="http://schemas.openxmlformats.org/officeDocument/2006/relationships/hyperlink" Target="https://www.sec.gov/Archives/edgar/data/1677703/000167770325000067/cndt-20250409.htm" TargetMode="External"/><Relationship Id="rId51" Type="http://schemas.openxmlformats.org/officeDocument/2006/relationships/hyperlink" Target="https://www.sec.gov/Archives/edgar/data/1846084/000095017025068004/jetmf-20250505.htm" TargetMode="External"/><Relationship Id="rId52" Type="http://schemas.openxmlformats.org/officeDocument/2006/relationships/hyperlink" Target="https://www.sec.gov/Archives/edgar/data/73309/000119312525119311/d795264d8k.htm" TargetMode="External"/><Relationship Id="rId53" Type="http://schemas.openxmlformats.org/officeDocument/2006/relationships/hyperlink" Target="https://www.sec.gov/Archives/edgar/data/1679788/000167978825000094/coin-20250514.htm" TargetMode="External"/><Relationship Id="rId54" Type="http://schemas.openxmlformats.org/officeDocument/2006/relationships/hyperlink" Target="https://www.sec.gov/Archives/edgar/data/1854275/000121390025054319/ea0245724-8k_zoomcar.htm" TargetMode="External"/><Relationship Id="rId55" Type="http://schemas.openxmlformats.org/officeDocument/2006/relationships/hyperlink" Target="https://www.sec.gov/Archives/edgar/data/4977/000000497725000128/afl-20250620.htm" TargetMode="External"/><Relationship Id="rId56" Type="http://schemas.openxmlformats.org/officeDocument/2006/relationships/hyperlink" Target="https://www.sec.gov/Archives/edgar/data/1020859/000102085925000036/unfi-20250621.htm" TargetMode="External"/><Relationship Id="rId57" Type="http://schemas.openxmlformats.org/officeDocument/2006/relationships/hyperlink" Target="https://www.sec.gov/Archives/edgar/data/766421/000076642125000023/alk-20250627.htm" TargetMode="External"/><Relationship Id="rId58" Type="http://schemas.openxmlformats.org/officeDocument/2006/relationships/hyperlink" Target="https://www.sec.gov/Archives/edgar/data/1897762/000162828025034372/ingm-20250705.htm" TargetMode="External"/><Relationship Id="rId59" Type="http://schemas.openxmlformats.org/officeDocument/2006/relationships/hyperlink" Target="https://www.sec.gov/Archives/edgar/data/720154/000162828025040658/notv-20250808.htm" TargetMode="External"/><Relationship Id="rId60" Type="http://schemas.openxmlformats.org/officeDocument/2006/relationships/hyperlink" Target="https://www.sec.gov/Archives/edgar/data/351998/000165495425009925/daio_8k.htm" TargetMode="External"/><Relationship Id="rId61" Type="http://schemas.openxmlformats.org/officeDocument/2006/relationships/hyperlink" Target="https://www.sec.gov/Archives/edgar/data/1560143/000168316825006583/wytec_8k.htm" TargetMode="External"/><Relationship Id="rId62" Type="http://schemas.openxmlformats.org/officeDocument/2006/relationships/hyperlink" Target="https://www.sec.gov/Archives/edgar/data/1559865/000155986525000043/evtc-20250829.htm" TargetMode="External"/><Relationship Id="rId63" Type="http://schemas.openxmlformats.org/officeDocument/2006/relationships/hyperlink" Target="https://www.sec.gov/Archives/edgar/data/101829/000010182925000036/rtx-20250919.htm" TargetMode="External"/><Relationship Id="rId64" Type="http://schemas.openxmlformats.org/officeDocument/2006/relationships/hyperlink" Target="https://www.sec.gov/Archives/edgar/data/2186/000143774925030540/bkti20251006_8k.htm" TargetMode="External"/><Relationship Id="rId65" Type="http://schemas.openxmlformats.org/officeDocument/2006/relationships/hyperlink" Target="https://www.sec.gov/Archives/edgar/data/1048695/000104869525000149/ffiv-20251015.htm" TargetMode="External"/><Relationship Id="rId66" Type="http://schemas.openxmlformats.org/officeDocument/2006/relationships/hyperlink" Target="https://www.sec.gov/Archives/edgar/data/885307/000107997325001631/jctc_8k.htm" TargetMode="External"/><Relationship Id="rId67" Type="http://schemas.openxmlformats.org/officeDocument/2006/relationships/hyperlink" Target="https://www.sec.gov/Archives/edgar/data/1649739/000164973925000246/bafn-20251028.htm" TargetMode="External"/><Relationship Id="rId68" Type="http://schemas.openxmlformats.org/officeDocument/2006/relationships/hyperlink" Target="https://www.sec.gov/Archives/edgar/data/1600222/000095014225003098/eh250711375_8k.htm" TargetMode="External"/><Relationship Id="rId69" Type="http://schemas.openxmlformats.org/officeDocument/2006/relationships/hyperlink" Target="https://www.sec.gov/Archives/edgar/data/1834584/000183458425000196/cpng-20251215.htm" TargetMode="External"/><Relationship Id="rId70" Type="http://schemas.openxmlformats.org/officeDocument/2006/relationships/drawing" Target="../drawings/drawing1.xml"/><Relationship Id="rId71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5" t="n">
        <f aca="false">COUNTA(Screening!A2:A1000)</f>
        <v>206</v>
      </c>
    </row>
    <row r="6" customFormat="false" ht="15" hidden="false" customHeight="false" outlineLevel="0" collapsed="false">
      <c r="A6" s="5" t="s">
        <v>4</v>
      </c>
      <c r="B6" s="6" t="n">
        <v>139</v>
      </c>
    </row>
    <row r="7" customFormat="false" ht="15" hidden="false" customHeight="false" outlineLevel="0" collapsed="false">
      <c r="A7" s="5" t="s">
        <v>5</v>
      </c>
      <c r="B7" s="5" t="n">
        <f aca="false">COUNTIF(Screening!F2:F1000,"incident*")</f>
        <v>68</v>
      </c>
    </row>
    <row r="8" customFormat="false" ht="15" hidden="false" customHeight="false" outlineLevel="0" collapsed="false">
      <c r="A8" s="5" t="s">
        <v>6</v>
      </c>
      <c r="B8" s="5" t="n">
        <f aca="false">COUNTIF(Screening!F2:F1000,"update*")</f>
        <v>26</v>
      </c>
    </row>
    <row r="9" customFormat="false" ht="15" hidden="false" customHeight="false" outlineLevel="0" collapsed="false">
      <c r="A9" s="5" t="s">
        <v>7</v>
      </c>
      <c r="B9" s="5" t="n">
        <f aca="false">COUNTIF(Screening!F2:F1000,"excluded*")</f>
        <v>112</v>
      </c>
    </row>
    <row r="10" customFormat="false" ht="15" hidden="false" customHeight="false" outlineLevel="0" collapsed="false">
      <c r="A10" s="5" t="s">
        <v>8</v>
      </c>
      <c r="B10" s="5" t="n">
        <f aca="false">COUNTIF(Incidents!F2:F69,"Y")</f>
        <v>40</v>
      </c>
    </row>
    <row r="11" customFormat="false" ht="15" hidden="false" customHeight="false" outlineLevel="0" collapsed="false">
      <c r="A11" s="5" t="s">
        <v>9</v>
      </c>
      <c r="B11" s="5" t="n">
        <f aca="false">COUNTIF(Incidents!K2:K69,"Y")</f>
        <v>65</v>
      </c>
    </row>
    <row r="13" customFormat="false" ht="15" hidden="false" customHeight="false" outlineLevel="0" collapsed="false">
      <c r="A13" s="4" t="s">
        <v>10</v>
      </c>
    </row>
    <row r="14" customFormat="false" ht="23.85" hidden="false" customHeight="false" outlineLevel="0" collapsed="false">
      <c r="A14" s="7" t="s">
        <v>11</v>
      </c>
      <c r="B14" s="7" t="s">
        <v>12</v>
      </c>
      <c r="C14" s="7" t="s">
        <v>13</v>
      </c>
      <c r="D14" s="7" t="s">
        <v>14</v>
      </c>
      <c r="E14" s="7" t="s">
        <v>15</v>
      </c>
      <c r="F14" s="7" t="s">
        <v>16</v>
      </c>
      <c r="G14" s="7" t="s">
        <v>17</v>
      </c>
      <c r="H14" s="7" t="s">
        <v>18</v>
      </c>
    </row>
    <row r="15" customFormat="false" ht="15" hidden="false" customHeight="false" outlineLevel="0" collapsed="false">
      <c r="A15" s="5" t="s">
        <v>19</v>
      </c>
      <c r="B15" s="5" t="n">
        <f aca="false">COUNTIFS(Incidents!K2:K69,"Y",Incidents!G2:G69,"&lt;&gt;UND")</f>
        <v>22</v>
      </c>
      <c r="C15" s="5" t="n">
        <f aca="false">COUNTIF(Incidents!K2:K69,"Y")</f>
        <v>65</v>
      </c>
      <c r="D15" s="8" t="n">
        <f aca="false">IF(C15=0,0,B15/C15)</f>
        <v>0.338461538461539</v>
      </c>
      <c r="E15" s="6" t="n">
        <v>56</v>
      </c>
      <c r="F15" s="6" t="n">
        <v>201</v>
      </c>
      <c r="G15" s="8" t="n">
        <f aca="false">IF(F15=0,0,E15/F15)</f>
        <v>0.278606965174129</v>
      </c>
      <c r="H15" s="9" t="n">
        <v>0.35</v>
      </c>
    </row>
    <row r="16" customFormat="false" ht="15" hidden="false" customHeight="false" outlineLevel="0" collapsed="false">
      <c r="A16" s="5" t="s">
        <v>20</v>
      </c>
      <c r="B16" s="5" t="n">
        <f aca="false">COUNTIFS(Incidents!K2:K69,"Y",Incidents!G2:G69,"CLOUD")</f>
        <v>4</v>
      </c>
      <c r="C16" s="5" t="n">
        <f aca="false">B15</f>
        <v>22</v>
      </c>
      <c r="D16" s="8" t="n">
        <f aca="false">IF(C16=0,0,B16/C16)</f>
        <v>0.181818181818182</v>
      </c>
      <c r="E16" s="6" t="n">
        <v>36</v>
      </c>
      <c r="F16" s="6" t="n">
        <v>56</v>
      </c>
      <c r="G16" s="8" t="n">
        <f aca="false">IF(F16=0,0,E16/F16)</f>
        <v>0.642857142857143</v>
      </c>
      <c r="H16" s="10" t="n">
        <v>0.00033</v>
      </c>
    </row>
    <row r="17" customFormat="false" ht="15" hidden="false" customHeight="false" outlineLevel="0" collapsed="false">
      <c r="A17" s="5" t="s">
        <v>21</v>
      </c>
      <c r="B17" s="5" t="n">
        <f aca="false">COUNTIFS(Incidents!K2:K69,"Y",Incidents!H2:H69,"&lt;&gt;OTHER")</f>
        <v>11</v>
      </c>
      <c r="C17" s="5" t="n">
        <f aca="false">C15</f>
        <v>65</v>
      </c>
      <c r="D17" s="8" t="n">
        <f aca="false">IF(C17=0,0,B17/C17)</f>
        <v>0.169230769230769</v>
      </c>
      <c r="E17" s="6" t="n">
        <v>108</v>
      </c>
      <c r="F17" s="6" t="n">
        <v>201</v>
      </c>
      <c r="G17" s="8" t="n">
        <f aca="false">IF(F17=0,0,E17/F17)</f>
        <v>0.537313432835821</v>
      </c>
      <c r="H17" s="10" t="n">
        <v>1.3E-007</v>
      </c>
    </row>
    <row r="18" customFormat="false" ht="15" hidden="false" customHeight="false" outlineLevel="0" collapsed="false">
      <c r="A18" s="5" t="s">
        <v>22</v>
      </c>
      <c r="B18" s="5" t="n">
        <f aca="false">COUNTIFS(Incidents!K2:K69,"Y",Incidents!H2:H69,"MISCONFIG")</f>
        <v>0</v>
      </c>
      <c r="C18" s="5" t="n">
        <f aca="false">C15</f>
        <v>65</v>
      </c>
      <c r="D18" s="8" t="n">
        <f aca="false">IF(C18=0,0,B18/C18)</f>
        <v>0</v>
      </c>
      <c r="E18" s="6" t="n">
        <v>45</v>
      </c>
      <c r="F18" s="6" t="n">
        <v>201</v>
      </c>
      <c r="G18" s="8" t="n">
        <f aca="false">IF(F18=0,0,E18/F18)</f>
        <v>0.223880597014925</v>
      </c>
      <c r="H18" s="10" t="n">
        <v>1.5E-006</v>
      </c>
    </row>
    <row r="20" customFormat="false" ht="15" hidden="false" customHeight="false" outlineLevel="0" collapsed="false">
      <c r="A20" s="11" t="s">
        <v>23</v>
      </c>
    </row>
    <row r="22" customFormat="false" ht="15" hidden="false" customHeight="false" outlineLevel="0" collapsed="false">
      <c r="A22" s="4" t="s">
        <v>24</v>
      </c>
    </row>
    <row r="23" customFormat="false" ht="23.85" hidden="false" customHeight="false" outlineLevel="0" collapsed="false">
      <c r="A23" s="7" t="s">
        <v>25</v>
      </c>
      <c r="B23" s="7" t="s">
        <v>26</v>
      </c>
      <c r="C23" s="7" t="s">
        <v>27</v>
      </c>
    </row>
    <row r="24" customFormat="false" ht="15" hidden="false" customHeight="false" outlineLevel="0" collapsed="false">
      <c r="A24" s="5" t="s">
        <v>28</v>
      </c>
      <c r="B24" s="5" t="n">
        <f aca="false">COUNTIFS(Incidents!K2:K69,"Y",Incidents!H2:H69,A24)</f>
        <v>0</v>
      </c>
      <c r="C24" s="5" t="n">
        <f aca="false">COUNTIFS(Incidents!K2:K69,"Y",Incidents!I2:I69,A24)</f>
        <v>0</v>
      </c>
    </row>
    <row r="25" customFormat="false" ht="15" hidden="false" customHeight="false" outlineLevel="0" collapsed="false">
      <c r="A25" s="5" t="s">
        <v>29</v>
      </c>
      <c r="B25" s="5" t="n">
        <f aca="false">COUNTIFS(Incidents!K2:K69,"Y",Incidents!H2:H69,A25)</f>
        <v>7</v>
      </c>
      <c r="C25" s="5" t="n">
        <f aca="false">COUNTIFS(Incidents!K2:K69,"Y",Incidents!I2:I69,A25)</f>
        <v>4</v>
      </c>
    </row>
    <row r="26" customFormat="false" ht="15" hidden="false" customHeight="false" outlineLevel="0" collapsed="false">
      <c r="A26" s="5" t="s">
        <v>30</v>
      </c>
      <c r="B26" s="5" t="n">
        <f aca="false">COUNTIFS(Incidents!K2:K69,"Y",Incidents!H2:H69,A26)</f>
        <v>3</v>
      </c>
      <c r="C26" s="5" t="n">
        <f aca="false">COUNTIFS(Incidents!K2:K69,"Y",Incidents!I2:I69,A26)</f>
        <v>3</v>
      </c>
    </row>
    <row r="27" customFormat="false" ht="15" hidden="false" customHeight="false" outlineLevel="0" collapsed="false">
      <c r="A27" s="5" t="s">
        <v>31</v>
      </c>
      <c r="B27" s="5" t="n">
        <f aca="false">COUNTIFS(Incidents!K2:K69,"Y",Incidents!H2:H69,A27)</f>
        <v>1</v>
      </c>
      <c r="C27" s="5" t="n">
        <f aca="false">COUNTIFS(Incidents!K2:K69,"Y",Incidents!I2:I69,A27)</f>
        <v>2</v>
      </c>
    </row>
    <row r="28" customFormat="false" ht="15" hidden="false" customHeight="false" outlineLevel="0" collapsed="false">
      <c r="A28" s="5" t="s">
        <v>32</v>
      </c>
      <c r="B28" s="5" t="n">
        <f aca="false">COUNTIFS(Incidents!K2:K69,"Y",Incidents!H2:H69,A28)</f>
        <v>0</v>
      </c>
      <c r="C28" s="5" t="n">
        <f aca="false">COUNTIFS(Incidents!K2:K69,"Y",Incidents!I2:I69,A28)</f>
        <v>0</v>
      </c>
    </row>
    <row r="29" customFormat="false" ht="15" hidden="false" customHeight="false" outlineLevel="0" collapsed="false">
      <c r="A29" s="5" t="s">
        <v>33</v>
      </c>
      <c r="B29" s="5" t="n">
        <f aca="false">COUNTIFS(Incidents!K2:K69,"Y",Incidents!H2:H69,A29)</f>
        <v>0</v>
      </c>
      <c r="C29" s="5" t="n">
        <f aca="false">COUNTIFS(Incidents!K2:K69,"Y",Incidents!I2:I69,A29)</f>
        <v>2</v>
      </c>
    </row>
    <row r="30" customFormat="false" ht="15" hidden="false" customHeight="false" outlineLevel="0" collapsed="false">
      <c r="A30" s="5" t="s">
        <v>34</v>
      </c>
      <c r="B30" s="5" t="n">
        <f aca="false">COUNTIFS(Incidents!K2:K69,"Y",Incidents!H2:H69,A30)</f>
        <v>54</v>
      </c>
      <c r="C30" s="5" t="n">
        <f aca="false">COUNTIFS(Incidents!K2:K69,"Y",Incidents!I2:I69,A30)</f>
        <v>54</v>
      </c>
    </row>
    <row r="31" customFormat="false" ht="15" hidden="false" customHeight="false" outlineLevel="0" collapsed="false">
      <c r="A31" s="4" t="s">
        <v>35</v>
      </c>
      <c r="B31" s="4" t="n">
        <f aca="false">SUM(B24:B30)</f>
        <v>65</v>
      </c>
      <c r="C31" s="4" t="n">
        <f aca="false">SUM(C24:C30)</f>
        <v>65</v>
      </c>
    </row>
    <row r="33" customFormat="false" ht="15" hidden="false" customHeight="false" outlineLevel="0" collapsed="false">
      <c r="A33" s="4" t="s">
        <v>36</v>
      </c>
    </row>
    <row r="34" customFormat="false" ht="15" hidden="false" customHeight="false" outlineLevel="0" collapsed="false">
      <c r="A34" s="7" t="s">
        <v>25</v>
      </c>
      <c r="B34" s="7" t="s">
        <v>37</v>
      </c>
      <c r="C34" s="7" t="s">
        <v>38</v>
      </c>
      <c r="D34" s="7" t="s">
        <v>39</v>
      </c>
    </row>
    <row r="35" customFormat="false" ht="15" hidden="false" customHeight="false" outlineLevel="0" collapsed="false">
      <c r="A35" s="5" t="s">
        <v>29</v>
      </c>
      <c r="B35" s="5" t="n">
        <f aca="false">COUNTIFS(Incidents!K2:K69,"Y",Incidents!G2:G69,"CLOUD",Incidents!H2:H69,$A35)</f>
        <v>1</v>
      </c>
      <c r="C35" s="5" t="n">
        <f aca="false">COUNTIFS(Incidents!K2:K69,"Y",Incidents!G2:G69,"ONPREM",Incidents!H2:H69,$A35)</f>
        <v>1</v>
      </c>
      <c r="D35" s="5" t="n">
        <f aca="false">COUNTIFS(Incidents!K2:K69,"Y",Incidents!G2:G69,"UND",Incidents!H2:H69,$A35)</f>
        <v>5</v>
      </c>
    </row>
    <row r="36" customFormat="false" ht="15" hidden="false" customHeight="false" outlineLevel="0" collapsed="false">
      <c r="A36" s="5" t="s">
        <v>30</v>
      </c>
      <c r="B36" s="5" t="n">
        <f aca="false">COUNTIFS(Incidents!K2:K69,"Y",Incidents!G2:G69,"CLOUD",Incidents!H2:H69,$A36)</f>
        <v>0</v>
      </c>
      <c r="C36" s="5" t="n">
        <f aca="false">COUNTIFS(Incidents!K2:K69,"Y",Incidents!G2:G69,"ONPREM",Incidents!H2:H69,$A36)</f>
        <v>0</v>
      </c>
      <c r="D36" s="5" t="n">
        <f aca="false">COUNTIFS(Incidents!K2:K69,"Y",Incidents!G2:G69,"UND",Incidents!H2:H69,$A36)</f>
        <v>3</v>
      </c>
    </row>
    <row r="37" customFormat="false" ht="15" hidden="false" customHeight="false" outlineLevel="0" collapsed="false">
      <c r="A37" s="5" t="s">
        <v>31</v>
      </c>
      <c r="B37" s="5" t="n">
        <f aca="false">COUNTIFS(Incidents!K2:K69,"Y",Incidents!G2:G69,"CLOUD",Incidents!H2:H69,$A37)</f>
        <v>0</v>
      </c>
      <c r="C37" s="5" t="n">
        <f aca="false">COUNTIFS(Incidents!K2:K69,"Y",Incidents!G2:G69,"ONPREM",Incidents!H2:H69,$A37)</f>
        <v>0</v>
      </c>
      <c r="D37" s="5" t="n">
        <f aca="false">COUNTIFS(Incidents!K2:K69,"Y",Incidents!G2:G69,"UND",Incidents!H2:H69,$A37)</f>
        <v>1</v>
      </c>
    </row>
    <row r="38" customFormat="false" ht="15" hidden="false" customHeight="false" outlineLevel="0" collapsed="false">
      <c r="A38" s="5" t="s">
        <v>34</v>
      </c>
      <c r="B38" s="5" t="n">
        <f aca="false">COUNTIFS(Incidents!K2:K69,"Y",Incidents!G2:G69,"CLOUD",Incidents!H2:H69,$A38)</f>
        <v>3</v>
      </c>
      <c r="C38" s="5" t="n">
        <f aca="false">COUNTIFS(Incidents!K2:K69,"Y",Incidents!G2:G69,"ONPREM",Incidents!H2:H69,$A38)</f>
        <v>17</v>
      </c>
      <c r="D38" s="5" t="n">
        <f aca="false">COUNTIFS(Incidents!K2:K69,"Y",Incidents!G2:G69,"UND",Incidents!H2:H69,$A38)</f>
        <v>34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60"/>
    <col collapsed="false" customWidth="true" hidden="false" outlineLevel="0" max="14" min="13" style="0" width="14"/>
    <col collapsed="false" customWidth="true" hidden="false" outlineLevel="0" max="16" min="15" style="0" width="40"/>
  </cols>
  <sheetData>
    <row r="1" customFormat="false" ht="30" hidden="false" customHeight="true" outlineLevel="0" collapsed="false">
      <c r="A1" s="7" t="s">
        <v>40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25</v>
      </c>
      <c r="I1" s="7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</row>
    <row r="2" customFormat="false" ht="15" hidden="false" customHeight="false" outlineLevel="0" collapsed="false">
      <c r="A2" s="5" t="n">
        <v>1</v>
      </c>
      <c r="B2" s="5" t="s">
        <v>55</v>
      </c>
      <c r="C2" s="5" t="s">
        <v>56</v>
      </c>
      <c r="D2" s="5" t="s">
        <v>57</v>
      </c>
      <c r="E2" s="5" t="s">
        <v>58</v>
      </c>
      <c r="F2" s="5" t="s">
        <v>59</v>
      </c>
      <c r="G2" s="5" t="s">
        <v>39</v>
      </c>
      <c r="H2" s="5" t="s">
        <v>34</v>
      </c>
      <c r="I2" s="5" t="s">
        <v>34</v>
      </c>
      <c r="J2" s="5"/>
      <c r="K2" s="5" t="s">
        <v>59</v>
      </c>
      <c r="L2" s="5" t="s">
        <v>60</v>
      </c>
      <c r="M2" s="12"/>
      <c r="N2" s="12"/>
      <c r="O2" s="5"/>
      <c r="P2" s="13" t="s">
        <v>61</v>
      </c>
    </row>
    <row r="3" customFormat="false" ht="15" hidden="false" customHeight="false" outlineLevel="0" collapsed="false">
      <c r="A3" s="5" t="n">
        <v>2</v>
      </c>
      <c r="B3" s="5" t="s">
        <v>62</v>
      </c>
      <c r="C3" s="5" t="s">
        <v>63</v>
      </c>
      <c r="D3" s="5" t="s">
        <v>64</v>
      </c>
      <c r="E3" s="5" t="s">
        <v>58</v>
      </c>
      <c r="F3" s="5" t="s">
        <v>59</v>
      </c>
      <c r="G3" s="5" t="s">
        <v>39</v>
      </c>
      <c r="H3" s="5" t="s">
        <v>34</v>
      </c>
      <c r="I3" s="5" t="s">
        <v>34</v>
      </c>
      <c r="J3" s="5"/>
      <c r="K3" s="5" t="s">
        <v>59</v>
      </c>
      <c r="L3" s="5" t="s">
        <v>65</v>
      </c>
      <c r="M3" s="12"/>
      <c r="N3" s="12"/>
      <c r="O3" s="5" t="s">
        <v>66</v>
      </c>
      <c r="P3" s="13" t="s">
        <v>67</v>
      </c>
    </row>
    <row r="4" customFormat="false" ht="15" hidden="false" customHeight="false" outlineLevel="0" collapsed="false">
      <c r="A4" s="5" t="n">
        <v>3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39</v>
      </c>
      <c r="H4" s="5" t="s">
        <v>34</v>
      </c>
      <c r="I4" s="5" t="s">
        <v>34</v>
      </c>
      <c r="J4" s="5"/>
      <c r="K4" s="5" t="s">
        <v>59</v>
      </c>
      <c r="L4" s="5" t="s">
        <v>73</v>
      </c>
      <c r="M4" s="12" t="n">
        <v>12000000</v>
      </c>
      <c r="N4" s="12" t="n">
        <v>17000000</v>
      </c>
      <c r="O4" s="5" t="s">
        <v>74</v>
      </c>
      <c r="P4" s="13" t="s">
        <v>75</v>
      </c>
    </row>
    <row r="5" customFormat="false" ht="15" hidden="false" customHeight="false" outlineLevel="0" collapsed="false">
      <c r="A5" s="5" t="n">
        <v>4</v>
      </c>
      <c r="B5" s="5" t="s">
        <v>76</v>
      </c>
      <c r="C5" s="5" t="s">
        <v>77</v>
      </c>
      <c r="D5" s="5" t="s">
        <v>78</v>
      </c>
      <c r="E5" s="5" t="s">
        <v>71</v>
      </c>
      <c r="F5" s="5" t="s">
        <v>72</v>
      </c>
      <c r="G5" s="5" t="s">
        <v>38</v>
      </c>
      <c r="H5" s="5" t="s">
        <v>34</v>
      </c>
      <c r="I5" s="5" t="s">
        <v>34</v>
      </c>
      <c r="J5" s="5"/>
      <c r="K5" s="5" t="s">
        <v>59</v>
      </c>
      <c r="L5" s="5" t="s">
        <v>79</v>
      </c>
      <c r="M5" s="12"/>
      <c r="N5" s="12"/>
      <c r="O5" s="5"/>
      <c r="P5" s="13" t="s">
        <v>80</v>
      </c>
    </row>
    <row r="6" customFormat="false" ht="15" hidden="false" customHeight="false" outlineLevel="0" collapsed="false">
      <c r="A6" s="5" t="n">
        <v>5</v>
      </c>
      <c r="B6" s="5" t="s">
        <v>81</v>
      </c>
      <c r="C6" s="5" t="s">
        <v>82</v>
      </c>
      <c r="D6" s="5" t="s">
        <v>83</v>
      </c>
      <c r="E6" s="5" t="s">
        <v>58</v>
      </c>
      <c r="F6" s="5" t="s">
        <v>59</v>
      </c>
      <c r="G6" s="5" t="s">
        <v>39</v>
      </c>
      <c r="H6" s="5" t="s">
        <v>34</v>
      </c>
      <c r="I6" s="5" t="s">
        <v>34</v>
      </c>
      <c r="J6" s="5"/>
      <c r="K6" s="5" t="s">
        <v>59</v>
      </c>
      <c r="L6" s="5" t="s">
        <v>84</v>
      </c>
      <c r="M6" s="12"/>
      <c r="N6" s="12"/>
      <c r="O6" s="5"/>
      <c r="P6" s="13" t="s">
        <v>85</v>
      </c>
    </row>
    <row r="7" customFormat="false" ht="15" hidden="false" customHeight="false" outlineLevel="0" collapsed="false">
      <c r="A7" s="5" t="n">
        <v>6</v>
      </c>
      <c r="B7" s="5" t="s">
        <v>86</v>
      </c>
      <c r="C7" s="5" t="s">
        <v>87</v>
      </c>
      <c r="D7" s="5" t="s">
        <v>88</v>
      </c>
      <c r="E7" s="5" t="s">
        <v>58</v>
      </c>
      <c r="F7" s="5" t="s">
        <v>59</v>
      </c>
      <c r="G7" s="5" t="s">
        <v>37</v>
      </c>
      <c r="H7" s="5" t="s">
        <v>34</v>
      </c>
      <c r="I7" s="5" t="s">
        <v>34</v>
      </c>
      <c r="J7" s="5"/>
      <c r="K7" s="5" t="s">
        <v>59</v>
      </c>
      <c r="L7" s="5" t="s">
        <v>89</v>
      </c>
      <c r="M7" s="12"/>
      <c r="N7" s="12"/>
      <c r="O7" s="5"/>
      <c r="P7" s="13" t="s">
        <v>90</v>
      </c>
    </row>
    <row r="8" customFormat="false" ht="15" hidden="false" customHeight="false" outlineLevel="0" collapsed="false">
      <c r="A8" s="5" t="n">
        <v>7</v>
      </c>
      <c r="B8" s="5" t="s">
        <v>91</v>
      </c>
      <c r="C8" s="5" t="s">
        <v>92</v>
      </c>
      <c r="D8" s="5" t="s">
        <v>93</v>
      </c>
      <c r="E8" s="5" t="s">
        <v>58</v>
      </c>
      <c r="F8" s="5" t="s">
        <v>59</v>
      </c>
      <c r="G8" s="5" t="s">
        <v>38</v>
      </c>
      <c r="H8" s="5" t="s">
        <v>34</v>
      </c>
      <c r="I8" s="5" t="s">
        <v>34</v>
      </c>
      <c r="J8" s="5"/>
      <c r="K8" s="5" t="s">
        <v>59</v>
      </c>
      <c r="L8" s="5" t="s">
        <v>94</v>
      </c>
      <c r="M8" s="12"/>
      <c r="N8" s="12"/>
      <c r="O8" s="5"/>
      <c r="P8" s="13" t="s">
        <v>95</v>
      </c>
    </row>
    <row r="9" customFormat="false" ht="15" hidden="false" customHeight="false" outlineLevel="0" collapsed="false">
      <c r="A9" s="5" t="n">
        <v>8</v>
      </c>
      <c r="B9" s="5" t="s">
        <v>96</v>
      </c>
      <c r="C9" s="5" t="s">
        <v>92</v>
      </c>
      <c r="D9" s="5" t="s">
        <v>97</v>
      </c>
      <c r="E9" s="5" t="s">
        <v>71</v>
      </c>
      <c r="F9" s="5" t="s">
        <v>72</v>
      </c>
      <c r="G9" s="5" t="s">
        <v>39</v>
      </c>
      <c r="H9" s="5" t="s">
        <v>34</v>
      </c>
      <c r="I9" s="5" t="s">
        <v>34</v>
      </c>
      <c r="J9" s="5"/>
      <c r="K9" s="5" t="s">
        <v>59</v>
      </c>
      <c r="L9" s="5" t="s">
        <v>98</v>
      </c>
      <c r="M9" s="12"/>
      <c r="N9" s="12"/>
      <c r="O9" s="5"/>
      <c r="P9" s="13" t="s">
        <v>99</v>
      </c>
    </row>
    <row r="10" customFormat="false" ht="15" hidden="false" customHeight="false" outlineLevel="0" collapsed="false">
      <c r="A10" s="5" t="n">
        <v>9</v>
      </c>
      <c r="B10" s="5" t="s">
        <v>100</v>
      </c>
      <c r="C10" s="5" t="s">
        <v>101</v>
      </c>
      <c r="D10" s="5" t="s">
        <v>102</v>
      </c>
      <c r="E10" s="5" t="s">
        <v>58</v>
      </c>
      <c r="F10" s="5" t="s">
        <v>59</v>
      </c>
      <c r="G10" s="5" t="s">
        <v>39</v>
      </c>
      <c r="H10" s="5" t="s">
        <v>34</v>
      </c>
      <c r="I10" s="5" t="s">
        <v>34</v>
      </c>
      <c r="J10" s="5"/>
      <c r="K10" s="5" t="s">
        <v>59</v>
      </c>
      <c r="L10" s="5" t="s">
        <v>103</v>
      </c>
      <c r="M10" s="12"/>
      <c r="N10" s="12"/>
      <c r="O10" s="5"/>
      <c r="P10" s="13" t="s">
        <v>104</v>
      </c>
    </row>
    <row r="11" customFormat="false" ht="15" hidden="false" customHeight="false" outlineLevel="0" collapsed="false">
      <c r="A11" s="5" t="n">
        <v>10</v>
      </c>
      <c r="B11" s="5" t="s">
        <v>105</v>
      </c>
      <c r="C11" s="5" t="s">
        <v>106</v>
      </c>
      <c r="D11" s="5" t="s">
        <v>107</v>
      </c>
      <c r="E11" s="5" t="s">
        <v>58</v>
      </c>
      <c r="F11" s="5" t="s">
        <v>59</v>
      </c>
      <c r="G11" s="5" t="s">
        <v>39</v>
      </c>
      <c r="H11" s="5" t="s">
        <v>34</v>
      </c>
      <c r="I11" s="5" t="s">
        <v>34</v>
      </c>
      <c r="J11" s="5"/>
      <c r="K11" s="5" t="s">
        <v>59</v>
      </c>
      <c r="L11" s="5" t="s">
        <v>108</v>
      </c>
      <c r="M11" s="12"/>
      <c r="N11" s="12"/>
      <c r="O11" s="5"/>
      <c r="P11" s="13" t="s">
        <v>109</v>
      </c>
    </row>
    <row r="12" customFormat="false" ht="15" hidden="false" customHeight="false" outlineLevel="0" collapsed="false">
      <c r="A12" s="5" t="n">
        <v>11</v>
      </c>
      <c r="B12" s="5" t="s">
        <v>110</v>
      </c>
      <c r="C12" s="5" t="s">
        <v>111</v>
      </c>
      <c r="D12" s="5" t="s">
        <v>112</v>
      </c>
      <c r="E12" s="5" t="s">
        <v>58</v>
      </c>
      <c r="F12" s="5" t="s">
        <v>59</v>
      </c>
      <c r="G12" s="5" t="s">
        <v>39</v>
      </c>
      <c r="H12" s="5" t="s">
        <v>34</v>
      </c>
      <c r="I12" s="5" t="s">
        <v>34</v>
      </c>
      <c r="J12" s="5"/>
      <c r="K12" s="5" t="s">
        <v>59</v>
      </c>
      <c r="L12" s="5" t="s">
        <v>113</v>
      </c>
      <c r="M12" s="12"/>
      <c r="N12" s="12"/>
      <c r="O12" s="5"/>
      <c r="P12" s="13" t="s">
        <v>114</v>
      </c>
    </row>
    <row r="13" customFormat="false" ht="15" hidden="false" customHeight="false" outlineLevel="0" collapsed="false">
      <c r="A13" s="5" t="n">
        <v>12</v>
      </c>
      <c r="B13" s="5" t="s">
        <v>115</v>
      </c>
      <c r="C13" s="5" t="s">
        <v>116</v>
      </c>
      <c r="D13" s="5" t="s">
        <v>117</v>
      </c>
      <c r="E13" s="5" t="s">
        <v>58</v>
      </c>
      <c r="F13" s="5" t="s">
        <v>59</v>
      </c>
      <c r="G13" s="5" t="s">
        <v>39</v>
      </c>
      <c r="H13" s="5" t="s">
        <v>29</v>
      </c>
      <c r="I13" s="5" t="s">
        <v>29</v>
      </c>
      <c r="J13" s="5"/>
      <c r="K13" s="5" t="s">
        <v>59</v>
      </c>
      <c r="L13" s="5" t="s">
        <v>118</v>
      </c>
      <c r="M13" s="12"/>
      <c r="N13" s="12"/>
      <c r="O13" s="5"/>
      <c r="P13" s="13" t="s">
        <v>119</v>
      </c>
    </row>
    <row r="14" customFormat="false" ht="15" hidden="false" customHeight="false" outlineLevel="0" collapsed="false">
      <c r="A14" s="5" t="n">
        <v>13</v>
      </c>
      <c r="B14" s="5" t="s">
        <v>120</v>
      </c>
      <c r="C14" s="5" t="s">
        <v>121</v>
      </c>
      <c r="D14" s="5" t="s">
        <v>122</v>
      </c>
      <c r="E14" s="5" t="s">
        <v>58</v>
      </c>
      <c r="F14" s="5" t="s">
        <v>59</v>
      </c>
      <c r="G14" s="5" t="s">
        <v>39</v>
      </c>
      <c r="H14" s="5" t="s">
        <v>34</v>
      </c>
      <c r="I14" s="5" t="s">
        <v>34</v>
      </c>
      <c r="J14" s="5"/>
      <c r="K14" s="5" t="s">
        <v>59</v>
      </c>
      <c r="L14" s="5" t="s">
        <v>123</v>
      </c>
      <c r="M14" s="12"/>
      <c r="N14" s="12"/>
      <c r="O14" s="5"/>
      <c r="P14" s="13" t="s">
        <v>124</v>
      </c>
    </row>
    <row r="15" customFormat="false" ht="15" hidden="false" customHeight="false" outlineLevel="0" collapsed="false">
      <c r="A15" s="5" t="n">
        <v>14</v>
      </c>
      <c r="B15" s="5" t="s">
        <v>125</v>
      </c>
      <c r="C15" s="5" t="s">
        <v>126</v>
      </c>
      <c r="D15" s="5" t="s">
        <v>127</v>
      </c>
      <c r="E15" s="5" t="s">
        <v>58</v>
      </c>
      <c r="F15" s="5" t="s">
        <v>59</v>
      </c>
      <c r="G15" s="5" t="s">
        <v>38</v>
      </c>
      <c r="H15" s="5" t="s">
        <v>34</v>
      </c>
      <c r="I15" s="5" t="s">
        <v>34</v>
      </c>
      <c r="J15" s="5"/>
      <c r="K15" s="5" t="s">
        <v>59</v>
      </c>
      <c r="L15" s="5" t="s">
        <v>128</v>
      </c>
      <c r="M15" s="12"/>
      <c r="N15" s="12"/>
      <c r="O15" s="5"/>
      <c r="P15" s="13" t="s">
        <v>129</v>
      </c>
    </row>
    <row r="16" customFormat="false" ht="15" hidden="false" customHeight="false" outlineLevel="0" collapsed="false">
      <c r="A16" s="5" t="n">
        <v>15</v>
      </c>
      <c r="B16" s="5" t="s">
        <v>130</v>
      </c>
      <c r="C16" s="5" t="s">
        <v>131</v>
      </c>
      <c r="D16" s="5" t="s">
        <v>132</v>
      </c>
      <c r="E16" s="5" t="s">
        <v>58</v>
      </c>
      <c r="F16" s="5" t="s">
        <v>59</v>
      </c>
      <c r="G16" s="5" t="s">
        <v>38</v>
      </c>
      <c r="H16" s="5" t="s">
        <v>34</v>
      </c>
      <c r="I16" s="5" t="s">
        <v>34</v>
      </c>
      <c r="J16" s="5"/>
      <c r="K16" s="5" t="s">
        <v>59</v>
      </c>
      <c r="L16" s="5" t="s">
        <v>133</v>
      </c>
      <c r="M16" s="12"/>
      <c r="N16" s="12"/>
      <c r="O16" s="5"/>
      <c r="P16" s="13" t="s">
        <v>134</v>
      </c>
    </row>
    <row r="17" customFormat="false" ht="15" hidden="false" customHeight="false" outlineLevel="0" collapsed="false">
      <c r="A17" s="5" t="n">
        <v>16</v>
      </c>
      <c r="B17" s="5" t="s">
        <v>135</v>
      </c>
      <c r="C17" s="5" t="s">
        <v>136</v>
      </c>
      <c r="D17" s="5" t="s">
        <v>137</v>
      </c>
      <c r="E17" s="5" t="s">
        <v>58</v>
      </c>
      <c r="F17" s="5" t="s">
        <v>59</v>
      </c>
      <c r="G17" s="5" t="s">
        <v>39</v>
      </c>
      <c r="H17" s="5" t="s">
        <v>34</v>
      </c>
      <c r="I17" s="5" t="s">
        <v>34</v>
      </c>
      <c r="J17" s="5"/>
      <c r="K17" s="5" t="s">
        <v>59</v>
      </c>
      <c r="L17" s="5" t="s">
        <v>138</v>
      </c>
      <c r="M17" s="12"/>
      <c r="N17" s="12"/>
      <c r="O17" s="5"/>
      <c r="P17" s="13" t="s">
        <v>139</v>
      </c>
    </row>
    <row r="18" customFormat="false" ht="15" hidden="false" customHeight="false" outlineLevel="0" collapsed="false">
      <c r="A18" s="5" t="n">
        <v>17</v>
      </c>
      <c r="B18" s="5" t="s">
        <v>140</v>
      </c>
      <c r="C18" s="5" t="s">
        <v>141</v>
      </c>
      <c r="D18" s="5" t="s">
        <v>142</v>
      </c>
      <c r="E18" s="5" t="s">
        <v>58</v>
      </c>
      <c r="F18" s="5" t="s">
        <v>59</v>
      </c>
      <c r="G18" s="5" t="s">
        <v>39</v>
      </c>
      <c r="H18" s="5" t="s">
        <v>34</v>
      </c>
      <c r="I18" s="5" t="s">
        <v>34</v>
      </c>
      <c r="J18" s="5"/>
      <c r="K18" s="5" t="s">
        <v>59</v>
      </c>
      <c r="L18" s="5" t="s">
        <v>143</v>
      </c>
      <c r="M18" s="12"/>
      <c r="N18" s="12"/>
      <c r="O18" s="5"/>
      <c r="P18" s="13" t="s">
        <v>144</v>
      </c>
    </row>
    <row r="19" customFormat="false" ht="15" hidden="false" customHeight="false" outlineLevel="0" collapsed="false">
      <c r="A19" s="5" t="n">
        <v>18</v>
      </c>
      <c r="B19" s="5" t="s">
        <v>145</v>
      </c>
      <c r="C19" s="5" t="s">
        <v>146</v>
      </c>
      <c r="D19" s="5" t="s">
        <v>147</v>
      </c>
      <c r="E19" s="5" t="s">
        <v>58</v>
      </c>
      <c r="F19" s="5" t="s">
        <v>59</v>
      </c>
      <c r="G19" s="5" t="s">
        <v>37</v>
      </c>
      <c r="H19" s="5" t="s">
        <v>34</v>
      </c>
      <c r="I19" s="5" t="s">
        <v>34</v>
      </c>
      <c r="J19" s="5"/>
      <c r="K19" s="5" t="s">
        <v>59</v>
      </c>
      <c r="L19" s="5" t="s">
        <v>148</v>
      </c>
      <c r="M19" s="12"/>
      <c r="N19" s="12"/>
      <c r="O19" s="5" t="s">
        <v>149</v>
      </c>
      <c r="P19" s="13" t="s">
        <v>150</v>
      </c>
    </row>
    <row r="20" customFormat="false" ht="15" hidden="false" customHeight="false" outlineLevel="0" collapsed="false">
      <c r="A20" s="5" t="n">
        <v>19</v>
      </c>
      <c r="B20" s="5" t="s">
        <v>151</v>
      </c>
      <c r="C20" s="5" t="s">
        <v>152</v>
      </c>
      <c r="D20" s="5" t="s">
        <v>153</v>
      </c>
      <c r="E20" s="5" t="s">
        <v>58</v>
      </c>
      <c r="F20" s="5" t="s">
        <v>59</v>
      </c>
      <c r="G20" s="5" t="s">
        <v>38</v>
      </c>
      <c r="H20" s="5" t="s">
        <v>34</v>
      </c>
      <c r="I20" s="5" t="s">
        <v>34</v>
      </c>
      <c r="J20" s="5"/>
      <c r="K20" s="5" t="s">
        <v>59</v>
      </c>
      <c r="L20" s="5" t="s">
        <v>154</v>
      </c>
      <c r="M20" s="12"/>
      <c r="N20" s="12"/>
      <c r="O20" s="5"/>
      <c r="P20" s="13" t="s">
        <v>155</v>
      </c>
    </row>
    <row r="21" customFormat="false" ht="15" hidden="false" customHeight="false" outlineLevel="0" collapsed="false">
      <c r="A21" s="5" t="n">
        <v>20</v>
      </c>
      <c r="B21" s="5" t="s">
        <v>156</v>
      </c>
      <c r="C21" s="5" t="s">
        <v>152</v>
      </c>
      <c r="D21" s="5" t="s">
        <v>157</v>
      </c>
      <c r="E21" s="5" t="s">
        <v>71</v>
      </c>
      <c r="F21" s="5" t="s">
        <v>72</v>
      </c>
      <c r="G21" s="5" t="s">
        <v>39</v>
      </c>
      <c r="H21" s="5" t="s">
        <v>34</v>
      </c>
      <c r="I21" s="5" t="s">
        <v>34</v>
      </c>
      <c r="J21" s="5"/>
      <c r="K21" s="5" t="s">
        <v>59</v>
      </c>
      <c r="L21" s="5" t="s">
        <v>158</v>
      </c>
      <c r="M21" s="12"/>
      <c r="N21" s="12"/>
      <c r="O21" s="5"/>
      <c r="P21" s="13" t="s">
        <v>159</v>
      </c>
    </row>
    <row r="22" customFormat="false" ht="15" hidden="false" customHeight="false" outlineLevel="0" collapsed="false">
      <c r="A22" s="5" t="n">
        <v>21</v>
      </c>
      <c r="B22" s="5" t="s">
        <v>160</v>
      </c>
      <c r="C22" s="5" t="s">
        <v>161</v>
      </c>
      <c r="D22" s="5" t="s">
        <v>162</v>
      </c>
      <c r="E22" s="5" t="s">
        <v>58</v>
      </c>
      <c r="F22" s="5" t="s">
        <v>59</v>
      </c>
      <c r="G22" s="5" t="s">
        <v>39</v>
      </c>
      <c r="H22" s="5" t="s">
        <v>34</v>
      </c>
      <c r="I22" s="5" t="s">
        <v>34</v>
      </c>
      <c r="J22" s="5"/>
      <c r="K22" s="5" t="s">
        <v>59</v>
      </c>
      <c r="L22" s="5" t="s">
        <v>163</v>
      </c>
      <c r="M22" s="12" t="n">
        <v>2300000</v>
      </c>
      <c r="N22" s="12" t="n">
        <v>2300000</v>
      </c>
      <c r="O22" s="5" t="s">
        <v>164</v>
      </c>
      <c r="P22" s="13" t="s">
        <v>165</v>
      </c>
    </row>
    <row r="23" customFormat="false" ht="15" hidden="false" customHeight="false" outlineLevel="0" collapsed="false">
      <c r="A23" s="5" t="n">
        <v>22</v>
      </c>
      <c r="B23" s="5" t="s">
        <v>166</v>
      </c>
      <c r="C23" s="5" t="s">
        <v>167</v>
      </c>
      <c r="D23" s="5" t="s">
        <v>168</v>
      </c>
      <c r="E23" s="5" t="s">
        <v>71</v>
      </c>
      <c r="F23" s="5" t="s">
        <v>72</v>
      </c>
      <c r="G23" s="5" t="s">
        <v>38</v>
      </c>
      <c r="H23" s="5" t="s">
        <v>34</v>
      </c>
      <c r="I23" s="5" t="s">
        <v>34</v>
      </c>
      <c r="J23" s="5"/>
      <c r="K23" s="5" t="s">
        <v>59</v>
      </c>
      <c r="L23" s="5" t="s">
        <v>169</v>
      </c>
      <c r="M23" s="12"/>
      <c r="N23" s="12"/>
      <c r="O23" s="5"/>
      <c r="P23" s="13" t="s">
        <v>170</v>
      </c>
    </row>
    <row r="24" customFormat="false" ht="15" hidden="false" customHeight="false" outlineLevel="0" collapsed="false">
      <c r="A24" s="5" t="n">
        <v>23</v>
      </c>
      <c r="B24" s="5" t="s">
        <v>171</v>
      </c>
      <c r="C24" s="5" t="s">
        <v>172</v>
      </c>
      <c r="D24" s="5" t="s">
        <v>173</v>
      </c>
      <c r="E24" s="5" t="s">
        <v>71</v>
      </c>
      <c r="F24" s="5" t="s">
        <v>72</v>
      </c>
      <c r="G24" s="5" t="s">
        <v>39</v>
      </c>
      <c r="H24" s="5" t="s">
        <v>34</v>
      </c>
      <c r="I24" s="5" t="s">
        <v>34</v>
      </c>
      <c r="J24" s="5"/>
      <c r="K24" s="5" t="s">
        <v>59</v>
      </c>
      <c r="L24" s="5" t="s">
        <v>174</v>
      </c>
      <c r="M24" s="12"/>
      <c r="N24" s="12"/>
      <c r="O24" s="5" t="s">
        <v>175</v>
      </c>
      <c r="P24" s="13" t="s">
        <v>176</v>
      </c>
    </row>
    <row r="25" customFormat="false" ht="15" hidden="false" customHeight="false" outlineLevel="0" collapsed="false">
      <c r="A25" s="5" t="n">
        <v>24</v>
      </c>
      <c r="B25" s="5" t="s">
        <v>177</v>
      </c>
      <c r="C25" s="5" t="s">
        <v>178</v>
      </c>
      <c r="D25" s="5" t="s">
        <v>179</v>
      </c>
      <c r="E25" s="5" t="s">
        <v>71</v>
      </c>
      <c r="F25" s="5" t="s">
        <v>72</v>
      </c>
      <c r="G25" s="5" t="s">
        <v>39</v>
      </c>
      <c r="H25" s="5" t="s">
        <v>29</v>
      </c>
      <c r="I25" s="5" t="s">
        <v>29</v>
      </c>
      <c r="J25" s="5" t="s">
        <v>180</v>
      </c>
      <c r="K25" s="5" t="s">
        <v>72</v>
      </c>
      <c r="L25" s="5" t="s">
        <v>181</v>
      </c>
      <c r="M25" s="12"/>
      <c r="N25" s="12"/>
      <c r="O25" s="5"/>
      <c r="P25" s="13" t="s">
        <v>182</v>
      </c>
    </row>
    <row r="26" customFormat="false" ht="15" hidden="false" customHeight="false" outlineLevel="0" collapsed="false">
      <c r="A26" s="5" t="n">
        <v>25</v>
      </c>
      <c r="B26" s="5" t="s">
        <v>183</v>
      </c>
      <c r="C26" s="5" t="s">
        <v>178</v>
      </c>
      <c r="D26" s="5" t="s">
        <v>184</v>
      </c>
      <c r="E26" s="5" t="s">
        <v>71</v>
      </c>
      <c r="F26" s="5" t="s">
        <v>59</v>
      </c>
      <c r="G26" s="5" t="s">
        <v>37</v>
      </c>
      <c r="H26" s="5" t="s">
        <v>29</v>
      </c>
      <c r="I26" s="5" t="s">
        <v>29</v>
      </c>
      <c r="J26" s="5" t="s">
        <v>180</v>
      </c>
      <c r="K26" s="5" t="s">
        <v>59</v>
      </c>
      <c r="L26" s="5" t="s">
        <v>185</v>
      </c>
      <c r="M26" s="12"/>
      <c r="N26" s="12"/>
      <c r="O26" s="5"/>
      <c r="P26" s="13" t="s">
        <v>186</v>
      </c>
    </row>
    <row r="27" customFormat="false" ht="15" hidden="false" customHeight="false" outlineLevel="0" collapsed="false">
      <c r="A27" s="5" t="n">
        <v>26</v>
      </c>
      <c r="B27" s="5" t="s">
        <v>187</v>
      </c>
      <c r="C27" s="5" t="s">
        <v>188</v>
      </c>
      <c r="D27" s="5" t="s">
        <v>189</v>
      </c>
      <c r="E27" s="5" t="s">
        <v>71</v>
      </c>
      <c r="F27" s="5" t="s">
        <v>72</v>
      </c>
      <c r="G27" s="5" t="s">
        <v>37</v>
      </c>
      <c r="H27" s="5" t="s">
        <v>29</v>
      </c>
      <c r="I27" s="5" t="s">
        <v>29</v>
      </c>
      <c r="J27" s="5" t="s">
        <v>180</v>
      </c>
      <c r="K27" s="5" t="s">
        <v>72</v>
      </c>
      <c r="L27" s="5" t="s">
        <v>190</v>
      </c>
      <c r="M27" s="12"/>
      <c r="N27" s="12"/>
      <c r="O27" s="5"/>
      <c r="P27" s="13" t="s">
        <v>191</v>
      </c>
    </row>
    <row r="28" customFormat="false" ht="15" hidden="false" customHeight="false" outlineLevel="0" collapsed="false">
      <c r="A28" s="5" t="n">
        <v>27</v>
      </c>
      <c r="B28" s="5" t="s">
        <v>192</v>
      </c>
      <c r="C28" s="5" t="s">
        <v>188</v>
      </c>
      <c r="D28" s="5" t="s">
        <v>193</v>
      </c>
      <c r="E28" s="5" t="s">
        <v>71</v>
      </c>
      <c r="F28" s="5" t="s">
        <v>72</v>
      </c>
      <c r="G28" s="5" t="s">
        <v>37</v>
      </c>
      <c r="H28" s="5" t="s">
        <v>29</v>
      </c>
      <c r="I28" s="5" t="s">
        <v>29</v>
      </c>
      <c r="J28" s="5" t="s">
        <v>180</v>
      </c>
      <c r="K28" s="5" t="s">
        <v>72</v>
      </c>
      <c r="L28" s="5" t="s">
        <v>194</v>
      </c>
      <c r="M28" s="12"/>
      <c r="N28" s="12"/>
      <c r="O28" s="5"/>
      <c r="P28" s="13" t="s">
        <v>195</v>
      </c>
    </row>
    <row r="29" customFormat="false" ht="15" hidden="false" customHeight="false" outlineLevel="0" collapsed="false">
      <c r="A29" s="5" t="n">
        <v>28</v>
      </c>
      <c r="B29" s="5" t="s">
        <v>196</v>
      </c>
      <c r="C29" s="5" t="s">
        <v>197</v>
      </c>
      <c r="D29" s="5" t="s">
        <v>198</v>
      </c>
      <c r="E29" s="5" t="s">
        <v>71</v>
      </c>
      <c r="F29" s="5" t="s">
        <v>72</v>
      </c>
      <c r="G29" s="5" t="s">
        <v>39</v>
      </c>
      <c r="H29" s="5" t="s">
        <v>29</v>
      </c>
      <c r="I29" s="5" t="s">
        <v>29</v>
      </c>
      <c r="J29" s="5" t="s">
        <v>199</v>
      </c>
      <c r="K29" s="5" t="s">
        <v>59</v>
      </c>
      <c r="L29" s="5" t="s">
        <v>200</v>
      </c>
      <c r="M29" s="12"/>
      <c r="N29" s="12"/>
      <c r="O29" s="5"/>
      <c r="P29" s="13" t="s">
        <v>201</v>
      </c>
    </row>
    <row r="30" customFormat="false" ht="15" hidden="false" customHeight="false" outlineLevel="0" collapsed="false">
      <c r="A30" s="5" t="n">
        <v>29</v>
      </c>
      <c r="B30" s="5" t="s">
        <v>202</v>
      </c>
      <c r="C30" s="5" t="s">
        <v>203</v>
      </c>
      <c r="D30" s="5" t="s">
        <v>204</v>
      </c>
      <c r="E30" s="5" t="s">
        <v>71</v>
      </c>
      <c r="F30" s="5" t="s">
        <v>59</v>
      </c>
      <c r="G30" s="5" t="s">
        <v>39</v>
      </c>
      <c r="H30" s="5" t="s">
        <v>34</v>
      </c>
      <c r="I30" s="5" t="s">
        <v>34</v>
      </c>
      <c r="J30" s="5"/>
      <c r="K30" s="5" t="s">
        <v>59</v>
      </c>
      <c r="L30" s="5" t="s">
        <v>205</v>
      </c>
      <c r="M30" s="12"/>
      <c r="N30" s="12"/>
      <c r="O30" s="5"/>
      <c r="P30" s="13" t="s">
        <v>206</v>
      </c>
    </row>
    <row r="31" customFormat="false" ht="15" hidden="false" customHeight="false" outlineLevel="0" collapsed="false">
      <c r="A31" s="5" t="n">
        <v>30</v>
      </c>
      <c r="B31" s="5" t="s">
        <v>207</v>
      </c>
      <c r="C31" s="5" t="s">
        <v>208</v>
      </c>
      <c r="D31" s="5" t="s">
        <v>209</v>
      </c>
      <c r="E31" s="5" t="s">
        <v>58</v>
      </c>
      <c r="F31" s="5" t="s">
        <v>59</v>
      </c>
      <c r="G31" s="5" t="s">
        <v>37</v>
      </c>
      <c r="H31" s="5" t="s">
        <v>34</v>
      </c>
      <c r="I31" s="5" t="s">
        <v>34</v>
      </c>
      <c r="J31" s="5"/>
      <c r="K31" s="5" t="s">
        <v>59</v>
      </c>
      <c r="L31" s="5" t="s">
        <v>210</v>
      </c>
      <c r="M31" s="12"/>
      <c r="N31" s="12"/>
      <c r="O31" s="5" t="s">
        <v>211</v>
      </c>
      <c r="P31" s="13" t="s">
        <v>212</v>
      </c>
    </row>
    <row r="32" customFormat="false" ht="15" hidden="false" customHeight="false" outlineLevel="0" collapsed="false">
      <c r="A32" s="5" t="n">
        <v>31</v>
      </c>
      <c r="B32" s="5" t="s">
        <v>213</v>
      </c>
      <c r="C32" s="5" t="s">
        <v>214</v>
      </c>
      <c r="D32" s="5" t="s">
        <v>215</v>
      </c>
      <c r="E32" s="5" t="s">
        <v>58</v>
      </c>
      <c r="F32" s="5" t="s">
        <v>59</v>
      </c>
      <c r="G32" s="5" t="s">
        <v>39</v>
      </c>
      <c r="H32" s="5" t="s">
        <v>34</v>
      </c>
      <c r="I32" s="5" t="s">
        <v>34</v>
      </c>
      <c r="J32" s="5"/>
      <c r="K32" s="5" t="s">
        <v>59</v>
      </c>
      <c r="L32" s="5" t="s">
        <v>216</v>
      </c>
      <c r="M32" s="12"/>
      <c r="N32" s="12"/>
      <c r="O32" s="5"/>
      <c r="P32" s="13" t="s">
        <v>217</v>
      </c>
    </row>
    <row r="33" customFormat="false" ht="15" hidden="false" customHeight="false" outlineLevel="0" collapsed="false">
      <c r="A33" s="5" t="n">
        <v>32</v>
      </c>
      <c r="B33" s="5" t="s">
        <v>218</v>
      </c>
      <c r="C33" s="5" t="s">
        <v>219</v>
      </c>
      <c r="D33" s="5" t="s">
        <v>220</v>
      </c>
      <c r="E33" s="5" t="s">
        <v>71</v>
      </c>
      <c r="F33" s="5" t="s">
        <v>72</v>
      </c>
      <c r="G33" s="5" t="s">
        <v>39</v>
      </c>
      <c r="H33" s="5" t="s">
        <v>34</v>
      </c>
      <c r="I33" s="5" t="s">
        <v>34</v>
      </c>
      <c r="J33" s="5"/>
      <c r="K33" s="5" t="s">
        <v>59</v>
      </c>
      <c r="L33" s="5" t="s">
        <v>205</v>
      </c>
      <c r="M33" s="12"/>
      <c r="N33" s="12"/>
      <c r="O33" s="5"/>
      <c r="P33" s="13" t="s">
        <v>221</v>
      </c>
    </row>
    <row r="34" customFormat="false" ht="15" hidden="false" customHeight="false" outlineLevel="0" collapsed="false">
      <c r="A34" s="5" t="n">
        <v>33</v>
      </c>
      <c r="B34" s="5" t="s">
        <v>222</v>
      </c>
      <c r="C34" s="5" t="s">
        <v>223</v>
      </c>
      <c r="D34" s="5" t="s">
        <v>224</v>
      </c>
      <c r="E34" s="5" t="s">
        <v>58</v>
      </c>
      <c r="F34" s="5" t="s">
        <v>59</v>
      </c>
      <c r="G34" s="5" t="s">
        <v>39</v>
      </c>
      <c r="H34" s="5" t="s">
        <v>30</v>
      </c>
      <c r="I34" s="5" t="s">
        <v>30</v>
      </c>
      <c r="J34" s="5"/>
      <c r="K34" s="5" t="s">
        <v>59</v>
      </c>
      <c r="L34" s="5" t="s">
        <v>225</v>
      </c>
      <c r="M34" s="12"/>
      <c r="N34" s="12"/>
      <c r="O34" s="5"/>
      <c r="P34" s="13" t="s">
        <v>226</v>
      </c>
    </row>
    <row r="35" customFormat="false" ht="15" hidden="false" customHeight="false" outlineLevel="0" collapsed="false">
      <c r="A35" s="5" t="n">
        <v>34</v>
      </c>
      <c r="B35" s="5" t="s">
        <v>227</v>
      </c>
      <c r="C35" s="5" t="s">
        <v>228</v>
      </c>
      <c r="D35" s="5" t="s">
        <v>229</v>
      </c>
      <c r="E35" s="5" t="s">
        <v>71</v>
      </c>
      <c r="F35" s="5" t="s">
        <v>72</v>
      </c>
      <c r="G35" s="5" t="s">
        <v>39</v>
      </c>
      <c r="H35" s="5" t="s">
        <v>34</v>
      </c>
      <c r="I35" s="5" t="s">
        <v>34</v>
      </c>
      <c r="J35" s="5"/>
      <c r="K35" s="5" t="s">
        <v>59</v>
      </c>
      <c r="L35" s="5" t="s">
        <v>230</v>
      </c>
      <c r="M35" s="12"/>
      <c r="N35" s="12"/>
      <c r="O35" s="5" t="s">
        <v>231</v>
      </c>
      <c r="P35" s="13" t="s">
        <v>232</v>
      </c>
    </row>
    <row r="36" customFormat="false" ht="15" hidden="false" customHeight="false" outlineLevel="0" collapsed="false">
      <c r="A36" s="5" t="n">
        <v>35</v>
      </c>
      <c r="B36" s="5" t="s">
        <v>227</v>
      </c>
      <c r="C36" s="5" t="s">
        <v>233</v>
      </c>
      <c r="D36" s="5" t="s">
        <v>234</v>
      </c>
      <c r="E36" s="5" t="s">
        <v>71</v>
      </c>
      <c r="F36" s="5" t="s">
        <v>72</v>
      </c>
      <c r="G36" s="5" t="s">
        <v>38</v>
      </c>
      <c r="H36" s="5" t="s">
        <v>29</v>
      </c>
      <c r="I36" s="5" t="s">
        <v>33</v>
      </c>
      <c r="J36" s="5"/>
      <c r="K36" s="5" t="s">
        <v>59</v>
      </c>
      <c r="L36" s="5" t="s">
        <v>235</v>
      </c>
      <c r="M36" s="12"/>
      <c r="N36" s="12"/>
      <c r="O36" s="5" t="s">
        <v>236</v>
      </c>
      <c r="P36" s="13" t="s">
        <v>237</v>
      </c>
    </row>
    <row r="37" customFormat="false" ht="15" hidden="false" customHeight="false" outlineLevel="0" collapsed="false">
      <c r="A37" s="5" t="n">
        <v>36</v>
      </c>
      <c r="B37" s="5" t="s">
        <v>238</v>
      </c>
      <c r="C37" s="5" t="s">
        <v>239</v>
      </c>
      <c r="D37" s="5" t="s">
        <v>240</v>
      </c>
      <c r="E37" s="5" t="s">
        <v>71</v>
      </c>
      <c r="F37" s="5" t="s">
        <v>72</v>
      </c>
      <c r="G37" s="5" t="s">
        <v>38</v>
      </c>
      <c r="H37" s="5" t="s">
        <v>34</v>
      </c>
      <c r="I37" s="5" t="s">
        <v>34</v>
      </c>
      <c r="J37" s="5"/>
      <c r="K37" s="5" t="s">
        <v>59</v>
      </c>
      <c r="L37" s="5" t="s">
        <v>241</v>
      </c>
      <c r="M37" s="12"/>
      <c r="N37" s="12"/>
      <c r="O37" s="5"/>
      <c r="P37" s="13" t="s">
        <v>242</v>
      </c>
    </row>
    <row r="38" customFormat="false" ht="15" hidden="false" customHeight="false" outlineLevel="0" collapsed="false">
      <c r="A38" s="5" t="n">
        <v>37</v>
      </c>
      <c r="B38" s="5" t="s">
        <v>243</v>
      </c>
      <c r="C38" s="5" t="s">
        <v>244</v>
      </c>
      <c r="D38" s="5" t="s">
        <v>245</v>
      </c>
      <c r="E38" s="5" t="s">
        <v>58</v>
      </c>
      <c r="F38" s="5" t="s">
        <v>59</v>
      </c>
      <c r="G38" s="5" t="s">
        <v>39</v>
      </c>
      <c r="H38" s="5" t="s">
        <v>34</v>
      </c>
      <c r="I38" s="5" t="s">
        <v>34</v>
      </c>
      <c r="J38" s="5"/>
      <c r="K38" s="5" t="s">
        <v>59</v>
      </c>
      <c r="L38" s="5" t="s">
        <v>246</v>
      </c>
      <c r="M38" s="12"/>
      <c r="N38" s="12"/>
      <c r="O38" s="5"/>
      <c r="P38" s="13" t="s">
        <v>247</v>
      </c>
    </row>
    <row r="39" customFormat="false" ht="15" hidden="false" customHeight="false" outlineLevel="0" collapsed="false">
      <c r="A39" s="5" t="n">
        <v>38</v>
      </c>
      <c r="B39" s="5" t="s">
        <v>248</v>
      </c>
      <c r="C39" s="5" t="s">
        <v>233</v>
      </c>
      <c r="D39" s="5" t="s">
        <v>249</v>
      </c>
      <c r="E39" s="5" t="s">
        <v>71</v>
      </c>
      <c r="F39" s="5" t="s">
        <v>72</v>
      </c>
      <c r="G39" s="5" t="s">
        <v>38</v>
      </c>
      <c r="H39" s="5" t="s">
        <v>34</v>
      </c>
      <c r="I39" s="5" t="s">
        <v>34</v>
      </c>
      <c r="J39" s="5"/>
      <c r="K39" s="5" t="s">
        <v>59</v>
      </c>
      <c r="L39" s="5" t="s">
        <v>250</v>
      </c>
      <c r="M39" s="12"/>
      <c r="N39" s="12"/>
      <c r="O39" s="5"/>
      <c r="P39" s="13" t="s">
        <v>251</v>
      </c>
    </row>
    <row r="40" customFormat="false" ht="15" hidden="false" customHeight="false" outlineLevel="0" collapsed="false">
      <c r="A40" s="5" t="n">
        <v>39</v>
      </c>
      <c r="B40" s="5" t="s">
        <v>252</v>
      </c>
      <c r="C40" s="5" t="s">
        <v>253</v>
      </c>
      <c r="D40" s="5" t="s">
        <v>254</v>
      </c>
      <c r="E40" s="5" t="s">
        <v>71</v>
      </c>
      <c r="F40" s="5" t="s">
        <v>72</v>
      </c>
      <c r="G40" s="5" t="s">
        <v>39</v>
      </c>
      <c r="H40" s="5" t="s">
        <v>34</v>
      </c>
      <c r="I40" s="5" t="s">
        <v>34</v>
      </c>
      <c r="J40" s="5"/>
      <c r="K40" s="5" t="s">
        <v>59</v>
      </c>
      <c r="L40" s="5" t="s">
        <v>255</v>
      </c>
      <c r="M40" s="12"/>
      <c r="N40" s="12"/>
      <c r="O40" s="5"/>
      <c r="P40" s="13" t="s">
        <v>256</v>
      </c>
    </row>
    <row r="41" customFormat="false" ht="15" hidden="false" customHeight="false" outlineLevel="0" collapsed="false">
      <c r="A41" s="5" t="n">
        <v>40</v>
      </c>
      <c r="B41" s="5" t="s">
        <v>257</v>
      </c>
      <c r="C41" s="5" t="s">
        <v>258</v>
      </c>
      <c r="D41" s="5" t="s">
        <v>259</v>
      </c>
      <c r="E41" s="5" t="s">
        <v>71</v>
      </c>
      <c r="F41" s="5" t="s">
        <v>72</v>
      </c>
      <c r="G41" s="5" t="s">
        <v>38</v>
      </c>
      <c r="H41" s="5" t="s">
        <v>34</v>
      </c>
      <c r="I41" s="5" t="s">
        <v>34</v>
      </c>
      <c r="J41" s="5"/>
      <c r="K41" s="5" t="s">
        <v>59</v>
      </c>
      <c r="L41" s="5" t="s">
        <v>260</v>
      </c>
      <c r="M41" s="12"/>
      <c r="N41" s="12"/>
      <c r="O41" s="5"/>
      <c r="P41" s="13" t="s">
        <v>261</v>
      </c>
    </row>
    <row r="42" customFormat="false" ht="15" hidden="false" customHeight="false" outlineLevel="0" collapsed="false">
      <c r="A42" s="5" t="n">
        <v>41</v>
      </c>
      <c r="B42" s="5" t="s">
        <v>262</v>
      </c>
      <c r="C42" s="5" t="s">
        <v>263</v>
      </c>
      <c r="D42" s="5" t="s">
        <v>264</v>
      </c>
      <c r="E42" s="5" t="s">
        <v>58</v>
      </c>
      <c r="F42" s="5" t="s">
        <v>59</v>
      </c>
      <c r="G42" s="5" t="s">
        <v>38</v>
      </c>
      <c r="H42" s="5" t="s">
        <v>34</v>
      </c>
      <c r="I42" s="5" t="s">
        <v>34</v>
      </c>
      <c r="J42" s="5"/>
      <c r="K42" s="5" t="s">
        <v>59</v>
      </c>
      <c r="L42" s="5" t="s">
        <v>265</v>
      </c>
      <c r="M42" s="12" t="n">
        <v>250000</v>
      </c>
      <c r="N42" s="12" t="n">
        <v>250000</v>
      </c>
      <c r="O42" s="5" t="s">
        <v>266</v>
      </c>
      <c r="P42" s="13" t="s">
        <v>267</v>
      </c>
    </row>
    <row r="43" customFormat="false" ht="15" hidden="false" customHeight="false" outlineLevel="0" collapsed="false">
      <c r="A43" s="5" t="n">
        <v>42</v>
      </c>
      <c r="B43" s="5" t="s">
        <v>268</v>
      </c>
      <c r="C43" s="5" t="s">
        <v>269</v>
      </c>
      <c r="D43" s="5" t="s">
        <v>270</v>
      </c>
      <c r="E43" s="5" t="s">
        <v>58</v>
      </c>
      <c r="F43" s="5" t="s">
        <v>59</v>
      </c>
      <c r="G43" s="5" t="s">
        <v>39</v>
      </c>
      <c r="H43" s="5" t="s">
        <v>34</v>
      </c>
      <c r="I43" s="5" t="s">
        <v>34</v>
      </c>
      <c r="J43" s="5"/>
      <c r="K43" s="5" t="s">
        <v>59</v>
      </c>
      <c r="L43" s="5" t="s">
        <v>271</v>
      </c>
      <c r="M43" s="12"/>
      <c r="N43" s="12"/>
      <c r="O43" s="5"/>
      <c r="P43" s="13" t="s">
        <v>272</v>
      </c>
    </row>
    <row r="44" customFormat="false" ht="15" hidden="false" customHeight="false" outlineLevel="0" collapsed="false">
      <c r="A44" s="5" t="n">
        <v>43</v>
      </c>
      <c r="B44" s="5" t="s">
        <v>273</v>
      </c>
      <c r="C44" s="5" t="s">
        <v>274</v>
      </c>
      <c r="D44" s="5" t="s">
        <v>275</v>
      </c>
      <c r="E44" s="5" t="s">
        <v>71</v>
      </c>
      <c r="F44" s="5" t="s">
        <v>72</v>
      </c>
      <c r="G44" s="5" t="s">
        <v>39</v>
      </c>
      <c r="H44" s="5" t="s">
        <v>34</v>
      </c>
      <c r="I44" s="5" t="s">
        <v>34</v>
      </c>
      <c r="J44" s="5"/>
      <c r="K44" s="5" t="s">
        <v>59</v>
      </c>
      <c r="L44" s="5" t="s">
        <v>276</v>
      </c>
      <c r="M44" s="12"/>
      <c r="N44" s="12"/>
      <c r="O44" s="5"/>
      <c r="P44" s="13" t="s">
        <v>277</v>
      </c>
    </row>
    <row r="45" customFormat="false" ht="15" hidden="false" customHeight="false" outlineLevel="0" collapsed="false">
      <c r="A45" s="5" t="n">
        <v>44</v>
      </c>
      <c r="B45" s="5" t="s">
        <v>278</v>
      </c>
      <c r="C45" s="5" t="s">
        <v>279</v>
      </c>
      <c r="D45" s="5" t="s">
        <v>280</v>
      </c>
      <c r="E45" s="5" t="s">
        <v>58</v>
      </c>
      <c r="F45" s="5" t="s">
        <v>59</v>
      </c>
      <c r="G45" s="5" t="s">
        <v>39</v>
      </c>
      <c r="H45" s="5" t="s">
        <v>34</v>
      </c>
      <c r="I45" s="5" t="s">
        <v>34</v>
      </c>
      <c r="J45" s="5"/>
      <c r="K45" s="5" t="s">
        <v>59</v>
      </c>
      <c r="L45" s="5" t="s">
        <v>281</v>
      </c>
      <c r="M45" s="12"/>
      <c r="N45" s="12"/>
      <c r="O45" s="5"/>
      <c r="P45" s="13" t="s">
        <v>282</v>
      </c>
    </row>
    <row r="46" customFormat="false" ht="15" hidden="false" customHeight="false" outlineLevel="0" collapsed="false">
      <c r="A46" s="5" t="n">
        <v>45</v>
      </c>
      <c r="B46" s="5" t="s">
        <v>283</v>
      </c>
      <c r="C46" s="5" t="s">
        <v>284</v>
      </c>
      <c r="D46" s="5" t="s">
        <v>285</v>
      </c>
      <c r="E46" s="5" t="s">
        <v>58</v>
      </c>
      <c r="F46" s="5" t="s">
        <v>59</v>
      </c>
      <c r="G46" s="5" t="s">
        <v>38</v>
      </c>
      <c r="H46" s="5" t="s">
        <v>34</v>
      </c>
      <c r="I46" s="5" t="s">
        <v>34</v>
      </c>
      <c r="J46" s="5"/>
      <c r="K46" s="5" t="s">
        <v>59</v>
      </c>
      <c r="L46" s="5" t="s">
        <v>286</v>
      </c>
      <c r="M46" s="12"/>
      <c r="N46" s="12"/>
      <c r="O46" s="5"/>
      <c r="P46" s="13" t="s">
        <v>287</v>
      </c>
    </row>
    <row r="47" customFormat="false" ht="15" hidden="false" customHeight="false" outlineLevel="0" collapsed="false">
      <c r="A47" s="5" t="n">
        <v>46</v>
      </c>
      <c r="B47" s="5" t="s">
        <v>288</v>
      </c>
      <c r="C47" s="5" t="s">
        <v>289</v>
      </c>
      <c r="D47" s="5" t="s">
        <v>290</v>
      </c>
      <c r="E47" s="5" t="s">
        <v>71</v>
      </c>
      <c r="F47" s="5" t="s">
        <v>72</v>
      </c>
      <c r="G47" s="5" t="s">
        <v>39</v>
      </c>
      <c r="H47" s="5" t="s">
        <v>34</v>
      </c>
      <c r="I47" s="5" t="s">
        <v>34</v>
      </c>
      <c r="J47" s="5"/>
      <c r="K47" s="5" t="s">
        <v>59</v>
      </c>
      <c r="L47" s="5" t="s">
        <v>291</v>
      </c>
      <c r="M47" s="12" t="n">
        <v>500000</v>
      </c>
      <c r="N47" s="12" t="n">
        <v>500000</v>
      </c>
      <c r="O47" s="5" t="s">
        <v>292</v>
      </c>
      <c r="P47" s="13" t="s">
        <v>293</v>
      </c>
    </row>
    <row r="48" customFormat="false" ht="15" hidden="false" customHeight="false" outlineLevel="0" collapsed="false">
      <c r="A48" s="5" t="n">
        <v>47</v>
      </c>
      <c r="B48" s="5" t="s">
        <v>294</v>
      </c>
      <c r="C48" s="5" t="s">
        <v>295</v>
      </c>
      <c r="D48" s="5" t="s">
        <v>296</v>
      </c>
      <c r="E48" s="5" t="s">
        <v>58</v>
      </c>
      <c r="F48" s="5" t="s">
        <v>59</v>
      </c>
      <c r="G48" s="5" t="s">
        <v>39</v>
      </c>
      <c r="H48" s="5" t="s">
        <v>34</v>
      </c>
      <c r="I48" s="5" t="s">
        <v>34</v>
      </c>
      <c r="J48" s="5"/>
      <c r="K48" s="5" t="s">
        <v>59</v>
      </c>
      <c r="L48" s="5" t="s">
        <v>297</v>
      </c>
      <c r="M48" s="12"/>
      <c r="N48" s="12"/>
      <c r="O48" s="5"/>
      <c r="P48" s="13" t="s">
        <v>298</v>
      </c>
    </row>
    <row r="49" customFormat="false" ht="15" hidden="false" customHeight="false" outlineLevel="0" collapsed="false">
      <c r="A49" s="5" t="n">
        <v>48</v>
      </c>
      <c r="B49" s="5" t="s">
        <v>299</v>
      </c>
      <c r="C49" s="5" t="s">
        <v>300</v>
      </c>
      <c r="D49" s="5" t="s">
        <v>301</v>
      </c>
      <c r="E49" s="5" t="s">
        <v>58</v>
      </c>
      <c r="F49" s="5" t="s">
        <v>59</v>
      </c>
      <c r="G49" s="5" t="s">
        <v>38</v>
      </c>
      <c r="H49" s="5" t="s">
        <v>34</v>
      </c>
      <c r="I49" s="5" t="s">
        <v>34</v>
      </c>
      <c r="J49" s="5"/>
      <c r="K49" s="5" t="s">
        <v>59</v>
      </c>
      <c r="L49" s="5" t="s">
        <v>302</v>
      </c>
      <c r="M49" s="12"/>
      <c r="N49" s="12"/>
      <c r="O49" s="5"/>
      <c r="P49" s="13" t="s">
        <v>303</v>
      </c>
    </row>
    <row r="50" customFormat="false" ht="15" hidden="false" customHeight="false" outlineLevel="0" collapsed="false">
      <c r="A50" s="5" t="n">
        <v>49</v>
      </c>
      <c r="B50" s="5" t="s">
        <v>304</v>
      </c>
      <c r="C50" s="5" t="s">
        <v>305</v>
      </c>
      <c r="D50" s="5" t="s">
        <v>306</v>
      </c>
      <c r="E50" s="5" t="s">
        <v>58</v>
      </c>
      <c r="F50" s="5" t="s">
        <v>59</v>
      </c>
      <c r="G50" s="5" t="s">
        <v>39</v>
      </c>
      <c r="H50" s="5" t="s">
        <v>34</v>
      </c>
      <c r="I50" s="5" t="s">
        <v>34</v>
      </c>
      <c r="J50" s="5"/>
      <c r="K50" s="5" t="s">
        <v>59</v>
      </c>
      <c r="L50" s="5" t="s">
        <v>307</v>
      </c>
      <c r="M50" s="12"/>
      <c r="N50" s="12"/>
      <c r="O50" s="5" t="s">
        <v>308</v>
      </c>
      <c r="P50" s="13" t="s">
        <v>309</v>
      </c>
    </row>
    <row r="51" customFormat="false" ht="15" hidden="false" customHeight="false" outlineLevel="0" collapsed="false">
      <c r="A51" s="5" t="n">
        <v>50</v>
      </c>
      <c r="B51" s="5" t="s">
        <v>310</v>
      </c>
      <c r="C51" s="5" t="s">
        <v>311</v>
      </c>
      <c r="D51" s="5" t="s">
        <v>312</v>
      </c>
      <c r="E51" s="5" t="s">
        <v>71</v>
      </c>
      <c r="F51" s="5" t="s">
        <v>72</v>
      </c>
      <c r="G51" s="5" t="s">
        <v>38</v>
      </c>
      <c r="H51" s="5" t="s">
        <v>34</v>
      </c>
      <c r="I51" s="5" t="s">
        <v>34</v>
      </c>
      <c r="J51" s="5"/>
      <c r="K51" s="5" t="s">
        <v>59</v>
      </c>
      <c r="L51" s="5" t="s">
        <v>313</v>
      </c>
      <c r="M51" s="12"/>
      <c r="N51" s="12"/>
      <c r="O51" s="5"/>
      <c r="P51" s="13" t="s">
        <v>314</v>
      </c>
    </row>
    <row r="52" customFormat="false" ht="15" hidden="false" customHeight="false" outlineLevel="0" collapsed="false">
      <c r="A52" s="5" t="n">
        <v>51</v>
      </c>
      <c r="B52" s="5" t="s">
        <v>315</v>
      </c>
      <c r="C52" s="5" t="s">
        <v>316</v>
      </c>
      <c r="D52" s="5" t="s">
        <v>317</v>
      </c>
      <c r="E52" s="5" t="s">
        <v>58</v>
      </c>
      <c r="F52" s="5" t="s">
        <v>59</v>
      </c>
      <c r="G52" s="5" t="s">
        <v>39</v>
      </c>
      <c r="H52" s="5" t="s">
        <v>34</v>
      </c>
      <c r="I52" s="5" t="s">
        <v>34</v>
      </c>
      <c r="J52" s="5"/>
      <c r="K52" s="5" t="s">
        <v>59</v>
      </c>
      <c r="L52" s="5" t="s">
        <v>318</v>
      </c>
      <c r="M52" s="12"/>
      <c r="N52" s="12"/>
      <c r="O52" s="5"/>
      <c r="P52" s="13" t="s">
        <v>319</v>
      </c>
    </row>
    <row r="53" customFormat="false" ht="15" hidden="false" customHeight="false" outlineLevel="0" collapsed="false">
      <c r="A53" s="5" t="n">
        <v>52</v>
      </c>
      <c r="B53" s="5" t="s">
        <v>320</v>
      </c>
      <c r="C53" s="5" t="s">
        <v>321</v>
      </c>
      <c r="D53" s="5" t="s">
        <v>322</v>
      </c>
      <c r="E53" s="5" t="s">
        <v>58</v>
      </c>
      <c r="F53" s="5" t="s">
        <v>59</v>
      </c>
      <c r="G53" s="5" t="s">
        <v>39</v>
      </c>
      <c r="H53" s="5" t="s">
        <v>30</v>
      </c>
      <c r="I53" s="5" t="s">
        <v>30</v>
      </c>
      <c r="J53" s="5"/>
      <c r="K53" s="5" t="s">
        <v>59</v>
      </c>
      <c r="L53" s="5" t="s">
        <v>323</v>
      </c>
      <c r="M53" s="12" t="n">
        <v>180000000</v>
      </c>
      <c r="N53" s="12" t="n">
        <v>400000000</v>
      </c>
      <c r="O53" s="5" t="s">
        <v>324</v>
      </c>
      <c r="P53" s="13" t="s">
        <v>325</v>
      </c>
    </row>
    <row r="54" customFormat="false" ht="15" hidden="false" customHeight="false" outlineLevel="0" collapsed="false">
      <c r="A54" s="5" t="n">
        <v>53</v>
      </c>
      <c r="B54" s="5" t="s">
        <v>326</v>
      </c>
      <c r="C54" s="5" t="s">
        <v>327</v>
      </c>
      <c r="D54" s="5" t="s">
        <v>328</v>
      </c>
      <c r="E54" s="5" t="s">
        <v>58</v>
      </c>
      <c r="F54" s="5" t="s">
        <v>59</v>
      </c>
      <c r="G54" s="5" t="s">
        <v>39</v>
      </c>
      <c r="H54" s="5" t="s">
        <v>34</v>
      </c>
      <c r="I54" s="5" t="s">
        <v>34</v>
      </c>
      <c r="J54" s="5"/>
      <c r="K54" s="5" t="s">
        <v>59</v>
      </c>
      <c r="L54" s="5" t="s">
        <v>329</v>
      </c>
      <c r="M54" s="12"/>
      <c r="N54" s="12"/>
      <c r="O54" s="5"/>
      <c r="P54" s="13" t="s">
        <v>330</v>
      </c>
    </row>
    <row r="55" customFormat="false" ht="15" hidden="false" customHeight="false" outlineLevel="0" collapsed="false">
      <c r="A55" s="5" t="n">
        <v>54</v>
      </c>
      <c r="B55" s="5" t="s">
        <v>331</v>
      </c>
      <c r="C55" s="5" t="s">
        <v>332</v>
      </c>
      <c r="D55" s="5" t="s">
        <v>333</v>
      </c>
      <c r="E55" s="5" t="s">
        <v>71</v>
      </c>
      <c r="F55" s="5" t="s">
        <v>72</v>
      </c>
      <c r="G55" s="5" t="s">
        <v>38</v>
      </c>
      <c r="H55" s="5" t="s">
        <v>34</v>
      </c>
      <c r="I55" s="5" t="s">
        <v>34</v>
      </c>
      <c r="J55" s="5"/>
      <c r="K55" s="5" t="s">
        <v>59</v>
      </c>
      <c r="L55" s="5" t="s">
        <v>334</v>
      </c>
      <c r="M55" s="12"/>
      <c r="N55" s="12"/>
      <c r="O55" s="5"/>
      <c r="P55" s="13" t="s">
        <v>335</v>
      </c>
    </row>
    <row r="56" customFormat="false" ht="15" hidden="false" customHeight="false" outlineLevel="0" collapsed="false">
      <c r="A56" s="5" t="n">
        <v>55</v>
      </c>
      <c r="B56" s="5" t="s">
        <v>336</v>
      </c>
      <c r="C56" s="5" t="s">
        <v>337</v>
      </c>
      <c r="D56" s="5" t="s">
        <v>338</v>
      </c>
      <c r="E56" s="5" t="s">
        <v>58</v>
      </c>
      <c r="F56" s="5" t="s">
        <v>59</v>
      </c>
      <c r="G56" s="5" t="s">
        <v>39</v>
      </c>
      <c r="H56" s="5" t="s">
        <v>34</v>
      </c>
      <c r="I56" s="5" t="s">
        <v>34</v>
      </c>
      <c r="J56" s="5"/>
      <c r="K56" s="5" t="s">
        <v>59</v>
      </c>
      <c r="L56" s="5" t="s">
        <v>339</v>
      </c>
      <c r="M56" s="12"/>
      <c r="N56" s="12"/>
      <c r="O56" s="5"/>
      <c r="P56" s="13" t="s">
        <v>340</v>
      </c>
    </row>
    <row r="57" customFormat="false" ht="15" hidden="false" customHeight="false" outlineLevel="0" collapsed="false">
      <c r="A57" s="5" t="n">
        <v>56</v>
      </c>
      <c r="B57" s="5" t="s">
        <v>341</v>
      </c>
      <c r="C57" s="5" t="s">
        <v>342</v>
      </c>
      <c r="D57" s="5" t="s">
        <v>343</v>
      </c>
      <c r="E57" s="5" t="s">
        <v>71</v>
      </c>
      <c r="F57" s="5" t="s">
        <v>72</v>
      </c>
      <c r="G57" s="5" t="s">
        <v>39</v>
      </c>
      <c r="H57" s="5" t="s">
        <v>34</v>
      </c>
      <c r="I57" s="5" t="s">
        <v>34</v>
      </c>
      <c r="J57" s="5"/>
      <c r="K57" s="5" t="s">
        <v>59</v>
      </c>
      <c r="L57" s="5" t="s">
        <v>344</v>
      </c>
      <c r="M57" s="12"/>
      <c r="N57" s="12"/>
      <c r="O57" s="5"/>
      <c r="P57" s="13" t="s">
        <v>345</v>
      </c>
    </row>
    <row r="58" customFormat="false" ht="15" hidden="false" customHeight="false" outlineLevel="0" collapsed="false">
      <c r="A58" s="5" t="n">
        <v>57</v>
      </c>
      <c r="B58" s="5" t="s">
        <v>346</v>
      </c>
      <c r="C58" s="5" t="s">
        <v>347</v>
      </c>
      <c r="D58" s="5" t="s">
        <v>348</v>
      </c>
      <c r="E58" s="5" t="s">
        <v>71</v>
      </c>
      <c r="F58" s="5" t="s">
        <v>72</v>
      </c>
      <c r="G58" s="5" t="s">
        <v>38</v>
      </c>
      <c r="H58" s="5" t="s">
        <v>34</v>
      </c>
      <c r="I58" s="5" t="s">
        <v>34</v>
      </c>
      <c r="J58" s="5"/>
      <c r="K58" s="5" t="s">
        <v>59</v>
      </c>
      <c r="L58" s="5" t="s">
        <v>349</v>
      </c>
      <c r="M58" s="12"/>
      <c r="N58" s="12"/>
      <c r="O58" s="5"/>
      <c r="P58" s="13" t="s">
        <v>350</v>
      </c>
    </row>
    <row r="59" customFormat="false" ht="15" hidden="false" customHeight="false" outlineLevel="0" collapsed="false">
      <c r="A59" s="5" t="n">
        <v>58</v>
      </c>
      <c r="B59" s="5" t="s">
        <v>351</v>
      </c>
      <c r="C59" s="5" t="s">
        <v>352</v>
      </c>
      <c r="D59" s="5" t="s">
        <v>353</v>
      </c>
      <c r="E59" s="5" t="s">
        <v>71</v>
      </c>
      <c r="F59" s="5" t="s">
        <v>72</v>
      </c>
      <c r="G59" s="5" t="s">
        <v>38</v>
      </c>
      <c r="H59" s="5" t="s">
        <v>34</v>
      </c>
      <c r="I59" s="5" t="s">
        <v>34</v>
      </c>
      <c r="J59" s="5"/>
      <c r="K59" s="5" t="s">
        <v>59</v>
      </c>
      <c r="L59" s="5" t="s">
        <v>354</v>
      </c>
      <c r="M59" s="12"/>
      <c r="N59" s="12"/>
      <c r="O59" s="5"/>
      <c r="P59" s="13" t="s">
        <v>355</v>
      </c>
    </row>
    <row r="60" customFormat="false" ht="15" hidden="false" customHeight="false" outlineLevel="0" collapsed="false">
      <c r="A60" s="5" t="n">
        <v>59</v>
      </c>
      <c r="B60" s="5" t="s">
        <v>356</v>
      </c>
      <c r="C60" s="5" t="s">
        <v>357</v>
      </c>
      <c r="D60" s="5" t="s">
        <v>358</v>
      </c>
      <c r="E60" s="5" t="s">
        <v>58</v>
      </c>
      <c r="F60" s="5" t="s">
        <v>59</v>
      </c>
      <c r="G60" s="5" t="s">
        <v>39</v>
      </c>
      <c r="H60" s="5" t="s">
        <v>29</v>
      </c>
      <c r="I60" s="5" t="s">
        <v>31</v>
      </c>
      <c r="J60" s="5"/>
      <c r="K60" s="5" t="s">
        <v>59</v>
      </c>
      <c r="L60" s="5" t="s">
        <v>359</v>
      </c>
      <c r="M60" s="12" t="n">
        <v>180000</v>
      </c>
      <c r="N60" s="12" t="n">
        <v>180000</v>
      </c>
      <c r="O60" s="5" t="s">
        <v>360</v>
      </c>
      <c r="P60" s="13" t="s">
        <v>361</v>
      </c>
    </row>
    <row r="61" customFormat="false" ht="15" hidden="false" customHeight="false" outlineLevel="0" collapsed="false">
      <c r="A61" s="5" t="n">
        <v>60</v>
      </c>
      <c r="B61" s="5" t="s">
        <v>362</v>
      </c>
      <c r="C61" s="5" t="s">
        <v>363</v>
      </c>
      <c r="D61" s="5" t="s">
        <v>364</v>
      </c>
      <c r="E61" s="5" t="s">
        <v>58</v>
      </c>
      <c r="F61" s="5" t="s">
        <v>59</v>
      </c>
      <c r="G61" s="5" t="s">
        <v>39</v>
      </c>
      <c r="H61" s="5" t="s">
        <v>34</v>
      </c>
      <c r="I61" s="5" t="s">
        <v>34</v>
      </c>
      <c r="J61" s="5"/>
      <c r="K61" s="5" t="s">
        <v>59</v>
      </c>
      <c r="L61" s="5" t="s">
        <v>365</v>
      </c>
      <c r="M61" s="12"/>
      <c r="N61" s="12"/>
      <c r="O61" s="5"/>
      <c r="P61" s="13" t="s">
        <v>366</v>
      </c>
    </row>
    <row r="62" customFormat="false" ht="15" hidden="false" customHeight="false" outlineLevel="0" collapsed="false">
      <c r="A62" s="5" t="n">
        <v>61</v>
      </c>
      <c r="B62" s="5" t="s">
        <v>367</v>
      </c>
      <c r="C62" s="5" t="s">
        <v>368</v>
      </c>
      <c r="D62" s="5" t="s">
        <v>369</v>
      </c>
      <c r="E62" s="5" t="s">
        <v>71</v>
      </c>
      <c r="F62" s="5" t="s">
        <v>72</v>
      </c>
      <c r="G62" s="5" t="s">
        <v>39</v>
      </c>
      <c r="H62" s="5" t="s">
        <v>29</v>
      </c>
      <c r="I62" s="5" t="s">
        <v>33</v>
      </c>
      <c r="J62" s="5"/>
      <c r="K62" s="5" t="s">
        <v>59</v>
      </c>
      <c r="L62" s="5" t="s">
        <v>370</v>
      </c>
      <c r="M62" s="12"/>
      <c r="N62" s="12"/>
      <c r="O62" s="5" t="s">
        <v>371</v>
      </c>
      <c r="P62" s="13" t="s">
        <v>372</v>
      </c>
    </row>
    <row r="63" customFormat="false" ht="15" hidden="false" customHeight="false" outlineLevel="0" collapsed="false">
      <c r="A63" s="5" t="n">
        <v>62</v>
      </c>
      <c r="B63" s="5" t="s">
        <v>373</v>
      </c>
      <c r="C63" s="5" t="s">
        <v>374</v>
      </c>
      <c r="D63" s="5" t="s">
        <v>375</v>
      </c>
      <c r="E63" s="5" t="s">
        <v>71</v>
      </c>
      <c r="F63" s="5" t="s">
        <v>72</v>
      </c>
      <c r="G63" s="5" t="s">
        <v>39</v>
      </c>
      <c r="H63" s="5" t="s">
        <v>34</v>
      </c>
      <c r="I63" s="5" t="s">
        <v>34</v>
      </c>
      <c r="J63" s="5"/>
      <c r="K63" s="5" t="s">
        <v>59</v>
      </c>
      <c r="L63" s="5" t="s">
        <v>376</v>
      </c>
      <c r="M63" s="12"/>
      <c r="N63" s="12"/>
      <c r="O63" s="5"/>
      <c r="P63" s="13" t="s">
        <v>377</v>
      </c>
    </row>
    <row r="64" customFormat="false" ht="15" hidden="false" customHeight="false" outlineLevel="0" collapsed="false">
      <c r="A64" s="5" t="n">
        <v>63</v>
      </c>
      <c r="B64" s="5" t="s">
        <v>378</v>
      </c>
      <c r="C64" s="5" t="s">
        <v>379</v>
      </c>
      <c r="D64" s="5" t="s">
        <v>380</v>
      </c>
      <c r="E64" s="5" t="s">
        <v>71</v>
      </c>
      <c r="F64" s="5" t="s">
        <v>72</v>
      </c>
      <c r="G64" s="5" t="s">
        <v>39</v>
      </c>
      <c r="H64" s="5" t="s">
        <v>34</v>
      </c>
      <c r="I64" s="5" t="s">
        <v>34</v>
      </c>
      <c r="J64" s="5"/>
      <c r="K64" s="5" t="s">
        <v>59</v>
      </c>
      <c r="L64" s="5" t="s">
        <v>381</v>
      </c>
      <c r="M64" s="12"/>
      <c r="N64" s="12"/>
      <c r="O64" s="5"/>
      <c r="P64" s="13" t="s">
        <v>382</v>
      </c>
    </row>
    <row r="65" customFormat="false" ht="15" hidden="false" customHeight="false" outlineLevel="0" collapsed="false">
      <c r="A65" s="5" t="n">
        <v>64</v>
      </c>
      <c r="B65" s="5" t="s">
        <v>383</v>
      </c>
      <c r="C65" s="5" t="s">
        <v>384</v>
      </c>
      <c r="D65" s="5" t="s">
        <v>385</v>
      </c>
      <c r="E65" s="5" t="s">
        <v>58</v>
      </c>
      <c r="F65" s="5" t="s">
        <v>59</v>
      </c>
      <c r="G65" s="5" t="s">
        <v>39</v>
      </c>
      <c r="H65" s="5" t="s">
        <v>34</v>
      </c>
      <c r="I65" s="5" t="s">
        <v>34</v>
      </c>
      <c r="J65" s="5"/>
      <c r="K65" s="5" t="s">
        <v>59</v>
      </c>
      <c r="L65" s="5" t="s">
        <v>386</v>
      </c>
      <c r="M65" s="12"/>
      <c r="N65" s="12"/>
      <c r="O65" s="5"/>
      <c r="P65" s="13" t="s">
        <v>387</v>
      </c>
    </row>
    <row r="66" customFormat="false" ht="15" hidden="false" customHeight="false" outlineLevel="0" collapsed="false">
      <c r="A66" s="5" t="n">
        <v>65</v>
      </c>
      <c r="B66" s="5" t="s">
        <v>388</v>
      </c>
      <c r="C66" s="5" t="s">
        <v>389</v>
      </c>
      <c r="D66" s="5" t="s">
        <v>390</v>
      </c>
      <c r="E66" s="5" t="s">
        <v>58</v>
      </c>
      <c r="F66" s="5" t="s">
        <v>59</v>
      </c>
      <c r="G66" s="5" t="s">
        <v>38</v>
      </c>
      <c r="H66" s="5" t="s">
        <v>34</v>
      </c>
      <c r="I66" s="5" t="s">
        <v>34</v>
      </c>
      <c r="J66" s="5"/>
      <c r="K66" s="5" t="s">
        <v>59</v>
      </c>
      <c r="L66" s="5" t="s">
        <v>391</v>
      </c>
      <c r="M66" s="12"/>
      <c r="N66" s="12"/>
      <c r="O66" s="5"/>
      <c r="P66" s="13" t="s">
        <v>392</v>
      </c>
    </row>
    <row r="67" customFormat="false" ht="15" hidden="false" customHeight="false" outlineLevel="0" collapsed="false">
      <c r="A67" s="5" t="n">
        <v>66</v>
      </c>
      <c r="B67" s="5" t="s">
        <v>393</v>
      </c>
      <c r="C67" s="5" t="s">
        <v>394</v>
      </c>
      <c r="D67" s="5" t="s">
        <v>395</v>
      </c>
      <c r="E67" s="5" t="s">
        <v>58</v>
      </c>
      <c r="F67" s="5" t="s">
        <v>59</v>
      </c>
      <c r="G67" s="5" t="s">
        <v>39</v>
      </c>
      <c r="H67" s="5" t="s">
        <v>29</v>
      </c>
      <c r="I67" s="5" t="s">
        <v>29</v>
      </c>
      <c r="J67" s="5"/>
      <c r="K67" s="5" t="s">
        <v>59</v>
      </c>
      <c r="L67" s="5" t="s">
        <v>396</v>
      </c>
      <c r="M67" s="12"/>
      <c r="N67" s="12"/>
      <c r="O67" s="5"/>
      <c r="P67" s="13" t="s">
        <v>397</v>
      </c>
    </row>
    <row r="68" customFormat="false" ht="15" hidden="false" customHeight="false" outlineLevel="0" collapsed="false">
      <c r="A68" s="5" t="n">
        <v>67</v>
      </c>
      <c r="B68" s="5" t="s">
        <v>398</v>
      </c>
      <c r="C68" s="5" t="s">
        <v>399</v>
      </c>
      <c r="D68" s="5" t="s">
        <v>400</v>
      </c>
      <c r="E68" s="5" t="s">
        <v>71</v>
      </c>
      <c r="F68" s="5" t="s">
        <v>72</v>
      </c>
      <c r="G68" s="5" t="s">
        <v>39</v>
      </c>
      <c r="H68" s="5" t="s">
        <v>31</v>
      </c>
      <c r="I68" s="5" t="s">
        <v>31</v>
      </c>
      <c r="J68" s="5" t="s">
        <v>401</v>
      </c>
      <c r="K68" s="5" t="s">
        <v>59</v>
      </c>
      <c r="L68" s="5" t="s">
        <v>402</v>
      </c>
      <c r="M68" s="12"/>
      <c r="N68" s="12"/>
      <c r="O68" s="5" t="s">
        <v>403</v>
      </c>
      <c r="P68" s="13" t="s">
        <v>404</v>
      </c>
    </row>
    <row r="69" customFormat="false" ht="15" hidden="false" customHeight="false" outlineLevel="0" collapsed="false">
      <c r="A69" s="5" t="n">
        <v>68</v>
      </c>
      <c r="B69" s="5" t="s">
        <v>405</v>
      </c>
      <c r="C69" s="5" t="s">
        <v>406</v>
      </c>
      <c r="D69" s="5" t="s">
        <v>407</v>
      </c>
      <c r="E69" s="5" t="s">
        <v>58</v>
      </c>
      <c r="F69" s="5" t="s">
        <v>59</v>
      </c>
      <c r="G69" s="5" t="s">
        <v>39</v>
      </c>
      <c r="H69" s="5" t="s">
        <v>30</v>
      </c>
      <c r="I69" s="5" t="s">
        <v>30</v>
      </c>
      <c r="J69" s="5"/>
      <c r="K69" s="5" t="s">
        <v>59</v>
      </c>
      <c r="L69" s="5" t="s">
        <v>408</v>
      </c>
      <c r="M69" s="12" t="n">
        <v>1200000000</v>
      </c>
      <c r="N69" s="12" t="n">
        <v>1200000000</v>
      </c>
      <c r="O69" s="5" t="s">
        <v>409</v>
      </c>
      <c r="P69" s="13" t="s">
        <v>410</v>
      </c>
    </row>
  </sheetData>
  <autoFilter ref="A1:P69"/>
  <hyperlinks>
    <hyperlink ref="P2" r:id="rId2" display="https://www.sec.gov/Archives/edgar/data/103379/000095012323011228/d659095d8k.htm"/>
    <hyperlink ref="P3" r:id="rId3" display="https://www.sec.gov/Archives/edgar/data/1472787/000095017023072513/faf-20231220.htm"/>
    <hyperlink ref="P4" r:id="rId4" display="https://www.sec.gov/Archives/edgar/data/1831631/000183163124000004/ldi-20240104.htm"/>
    <hyperlink ref="P5" r:id="rId5" display="https://www.sec.gov/Archives/edgar/data/1331875/000133187524000005/fnf-20231119.htm"/>
    <hyperlink ref="P6" r:id="rId6" display="https://www.sec.gov/Archives/edgar/data/789019/000119312524011295/d708866d8k.htm"/>
    <hyperlink ref="P7" r:id="rId7" display="https://www.sec.gov/Archives/edgar/data/1645590/000164559024000009/hpe-20240119.htm"/>
    <hyperlink ref="P8" r:id="rId8" display="https://www.sec.gov/Archives/edgar/data/764038/000095010324002017/dp206600_8k.htm"/>
    <hyperlink ref="P9" r:id="rId9" display="https://www.sec.gov/Archives/edgar/data/1018164/000101816424000005/wlfc-20240209.htm"/>
    <hyperlink ref="P10" r:id="rId10" display="https://www.sec.gov/Archives/edgar/data/1137774/000119312524033753/d770643d8k.htm"/>
    <hyperlink ref="P11" r:id="rId11" display="https://www.sec.gov/Archives/edgar/data/731766/000073176624000045/unh-20240221.htm"/>
    <hyperlink ref="P12" r:id="rId12" display="https://www.sec.gov/Archives/edgar/data/1140859/000110465924028288/tm247267d1_8k.htm"/>
    <hyperlink ref="P13" r:id="rId13" display="https://www.sec.gov/Archives/edgar/data/1329842/000165495424002505/fhlbny_8k.htm"/>
    <hyperlink ref="P14" r:id="rId14" display="https://www.sec.gov/Archives/edgar/data/1057060/000095017024030041/hzo-20240310.htm"/>
    <hyperlink ref="P15" r:id="rId15" display="https://www.sec.gov/Archives/edgar/data/1171155/000095017024033954/rlgt-20240319.htm"/>
    <hyperlink ref="P16" r:id="rId16" display="https://www.sec.gov/Archives/edgar/data/1464790/000121390024031252/ea0203500-8k_briley.htm"/>
    <hyperlink ref="P17" r:id="rId17" display="https://www.sec.gov/Archives/edgar/data/1116463/000119312524094797/d825009d8k.htm"/>
    <hyperlink ref="P18" r:id="rId18" display="https://www.sec.gov/Archives/edgar/data/20520/000119312524100764/d784189d8k.htm"/>
    <hyperlink ref="P19" r:id="rId19" display="https://www.sec.gov/Archives/edgar/data/1467623/000146762324000024/dbx-20240429.htm"/>
    <hyperlink ref="P20" r:id="rId20" display="https://www.sec.gov/Archives/edgar/data/790816/000119312524133132/d824906d8k.htm"/>
    <hyperlink ref="P21" r:id="rId21" display="https://www.sec.gov/Archives/edgar/data/1822359/000182235924000037/dcgo-20240507.htm"/>
    <hyperlink ref="P22" r:id="rId22" display="https://www.sec.gov/Archives/edgar/data/719733/000071973324000015/ktcc-20240506.htm"/>
    <hyperlink ref="P23" r:id="rId23" display="https://www.sec.gov/Archives/edgar/data/56978/000005697824000075/klic-20240528.htm"/>
    <hyperlink ref="P24" r:id="rId24" display="https://www.sec.gov/Archives/edgar/data/320335/000032033524000029/gl-20240614.htm"/>
    <hyperlink ref="P25" r:id="rId25" display="https://www.sec.gov/Archives/edgar/data/1019849/000101984924000089/pag-20240619.htm"/>
    <hyperlink ref="P26" r:id="rId26" display="https://www.sec.gov/Archives/edgar/data/1043509/000104350924000059/sah-20240619.htm"/>
    <hyperlink ref="P27" r:id="rId27" display="https://www.sec.gov/Archives/edgar/data/1031203/000103120324000048/gpi-20240619.htm"/>
    <hyperlink ref="P28" r:id="rId28" display="https://www.sec.gov/Archives/edgar/data/1023128/000102312824000079/lad-20240619.htm"/>
    <hyperlink ref="P29" r:id="rId29" display="https://www.sec.gov/Archives/edgar/data/1820953/000182095324000027/afrm-20240625.htm"/>
    <hyperlink ref="P30" r:id="rId30" display="https://www.sec.gov/Archives/edgar/data/1562151/000156215124000030/cwgl-20240630.htm"/>
    <hyperlink ref="P31" r:id="rId31" display="https://www.sec.gov/Archives/edgar/data/732717/000073271724000046/t-20240506.htm"/>
    <hyperlink ref="P32" r:id="rId32" display="https://www.sec.gov/Archives/edgar/data/10329/000143774924022743/bset20240715_8k.htm"/>
    <hyperlink ref="P33" r:id="rId33" display="https://www.sec.gov/Archives/edgar/data/1860543/000110465924081176/tm2419841d1_8k.htm"/>
    <hyperlink ref="P34" r:id="rId34" display="https://www.sec.gov/Archives/edgar/data/1431959/000095017024089345/mmat-20240725.htm"/>
    <hyperlink ref="P35" r:id="rId35" display="https://www.sec.gov/Archives/edgar/data/1703056/000095015724001064/form8k.htm"/>
    <hyperlink ref="P36" r:id="rId36" display="https://www.sec.gov/Archives/edgar/data/1703056/000119312524233900/d876174d8k.htm"/>
    <hyperlink ref="P37" r:id="rId37" display="https://www.sec.gov/Archives/edgar/data/827054/000082705424000153/mchp-20240820.htm"/>
    <hyperlink ref="P38" r:id="rId38" display="https://www.sec.gov/Archives/edgar/data/45012/000004501224000052/hal-20240830.htm"/>
    <hyperlink ref="P39" r:id="rId39" display="https://www.sec.gov/Archives/edgar/data/1410636/000119312524233300/d869346d8k.htm"/>
    <hyperlink ref="P40" r:id="rId40" display="https://www.sec.gov/Archives/edgar/data/731012/000073101224000134/hcsg-20241009.htm"/>
    <hyperlink ref="P41" r:id="rId41" display="https://www.sec.gov/Archives/edgar/data/71829/000007182924000111/nr-20241029.htm"/>
    <hyperlink ref="P42" r:id="rId42" display="https://www.sec.gov/Archives/edgar/data/1835972/000121390024099394/ea0221424-8k_ilearning.htm"/>
    <hyperlink ref="P43" r:id="rId43" display="https://www.sec.gov/Archives/edgar/data/933738/000165495424015098/eng_8k.htm"/>
    <hyperlink ref="P44" r:id="rId44" display="https://www.sec.gov/Archives/edgar/data/784199/000078419924000253/aort-20241209.htm"/>
    <hyperlink ref="P45" r:id="rId45" display="https://www.sec.gov/Archives/edgar/data/1857154/000185715424000123/dnut-20241211.htm"/>
    <hyperlink ref="P46" r:id="rId46" display="https://www.sec.gov/Archives/edgar/data/58361/000162828025005855/lee-20250212.htm"/>
    <hyperlink ref="P47" r:id="rId47" display="https://www.sec.gov/Archives/edgar/data/1512228/000153949725000735/n2574_x251-8k.htm"/>
    <hyperlink ref="P48" r:id="rId48" display="https://www.sec.gov/Archives/edgar/data/80172/000143774925006475/npk20250306_8k.htm"/>
    <hyperlink ref="P49" r:id="rId49" display="https://www.sec.gov/Archives/edgar/data/1477294/000147729425000047/st-20250406.htm"/>
    <hyperlink ref="P50" r:id="rId50" display="https://www.sec.gov/Archives/edgar/data/1677703/000167770325000067/cndt-20250409.htm"/>
    <hyperlink ref="P51" r:id="rId51" display="https://www.sec.gov/Archives/edgar/data/1846084/000095017025068004/jetmf-20250505.htm"/>
    <hyperlink ref="P52" r:id="rId52" display="https://www.sec.gov/Archives/edgar/data/73309/000119312525119311/d795264d8k.htm"/>
    <hyperlink ref="P53" r:id="rId53" display="https://www.sec.gov/Archives/edgar/data/1679788/000167978825000094/coin-20250514.htm"/>
    <hyperlink ref="P54" r:id="rId54" display="https://www.sec.gov/Archives/edgar/data/1854275/000121390025054319/ea0245724-8k_zoomcar.htm"/>
    <hyperlink ref="P55" r:id="rId55" display="https://www.sec.gov/Archives/edgar/data/4977/000000497725000128/afl-20250620.htm"/>
    <hyperlink ref="P56" r:id="rId56" display="https://www.sec.gov/Archives/edgar/data/1020859/000102085925000036/unfi-20250621.htm"/>
    <hyperlink ref="P57" r:id="rId57" display="https://www.sec.gov/Archives/edgar/data/766421/000076642125000023/alk-20250627.htm"/>
    <hyperlink ref="P58" r:id="rId58" display="https://www.sec.gov/Archives/edgar/data/1897762/000162828025034372/ingm-20250705.htm"/>
    <hyperlink ref="P59" r:id="rId59" display="https://www.sec.gov/Archives/edgar/data/720154/000162828025040658/notv-20250808.htm"/>
    <hyperlink ref="P60" r:id="rId60" display="https://www.sec.gov/Archives/edgar/data/351998/000165495425009925/daio_8k.htm"/>
    <hyperlink ref="P61" r:id="rId61" display="https://www.sec.gov/Archives/edgar/data/1560143/000168316825006583/wytec_8k.htm"/>
    <hyperlink ref="P62" r:id="rId62" display="https://www.sec.gov/Archives/edgar/data/1559865/000155986525000043/evtc-20250829.htm"/>
    <hyperlink ref="P63" r:id="rId63" display="https://www.sec.gov/Archives/edgar/data/101829/000010182925000036/rtx-20250919.htm"/>
    <hyperlink ref="P64" r:id="rId64" display="https://www.sec.gov/Archives/edgar/data/2186/000143774925030540/bkti20251006_8k.htm"/>
    <hyperlink ref="P65" r:id="rId65" display="https://www.sec.gov/Archives/edgar/data/1048695/000104869525000149/ffiv-20251015.htm"/>
    <hyperlink ref="P66" r:id="rId66" display="https://www.sec.gov/Archives/edgar/data/885307/000107997325001631/jctc_8k.htm"/>
    <hyperlink ref="P67" r:id="rId67" display="https://www.sec.gov/Archives/edgar/data/1649739/000164973925000246/bafn-20251028.htm"/>
    <hyperlink ref="P68" r:id="rId68" display="https://www.sec.gov/Archives/edgar/data/1600222/000095014225003098/eh250711375_8k.htm"/>
    <hyperlink ref="P69" r:id="rId69" display="https://www.sec.gov/Archives/edgar/data/1834584/000183458425000196/cpng-20251215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0"/>
  <legacyDrawing r:id="rId7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7" t="s">
        <v>41</v>
      </c>
      <c r="B1" s="7" t="s">
        <v>46</v>
      </c>
      <c r="C1" s="7" t="s">
        <v>51</v>
      </c>
      <c r="D1" s="7" t="s">
        <v>52</v>
      </c>
      <c r="E1" s="7" t="s">
        <v>411</v>
      </c>
      <c r="F1" s="7" t="s">
        <v>412</v>
      </c>
    </row>
    <row r="2" customFormat="false" ht="15" hidden="false" customHeight="false" outlineLevel="0" collapsed="false">
      <c r="A2" s="14" t="str">
        <f aca="false">Incidents!B4</f>
        <v>loanDepot, Inc.</v>
      </c>
      <c r="B2" s="14" t="str">
        <f aca="false">Incidents!G4</f>
        <v>UND</v>
      </c>
      <c r="C2" s="15" t="n">
        <f aca="false">Incidents!M4</f>
        <v>12000000</v>
      </c>
      <c r="D2" s="15" t="n">
        <f aca="false">Incidents!N4</f>
        <v>17000000</v>
      </c>
      <c r="E2" s="12" t="n">
        <f aca="false">AVERAGE(C2:D2)</f>
        <v>14500000</v>
      </c>
      <c r="F2" s="14" t="str">
        <f aca="false">Incidents!O4</f>
        <v>Q1 2024 expenses net of insurance</v>
      </c>
    </row>
    <row r="3" customFormat="false" ht="15" hidden="false" customHeight="false" outlineLevel="0" collapsed="false">
      <c r="A3" s="14" t="str">
        <f aca="false">Incidents!B22</f>
        <v>KEY TRONIC CORP</v>
      </c>
      <c r="B3" s="14" t="str">
        <f aca="false">Incidents!G22</f>
        <v>UND</v>
      </c>
      <c r="C3" s="15" t="n">
        <f aca="false">Incidents!M22</f>
        <v>2300000</v>
      </c>
      <c r="D3" s="15" t="n">
        <f aca="false">Incidents!N22</f>
        <v>2300000</v>
      </c>
      <c r="E3" s="12" t="n">
        <f aca="false">AVERAGE(C3:D3)</f>
        <v>2300000</v>
      </c>
      <c r="F3" s="14" t="str">
        <f aca="false">Incidents!O22</f>
        <v>plus ~$15M revenue not fulfilled in quarter</v>
      </c>
    </row>
    <row r="4" customFormat="false" ht="15" hidden="false" customHeight="false" outlineLevel="0" collapsed="false">
      <c r="A4" s="14" t="str">
        <f aca="false">Incidents!B42</f>
        <v>iLearningEngines, Inc.</v>
      </c>
      <c r="B4" s="14" t="str">
        <f aca="false">Incidents!G42</f>
        <v>ONPREM</v>
      </c>
      <c r="C4" s="15" t="n">
        <f aca="false">Incidents!M42</f>
        <v>250000</v>
      </c>
      <c r="D4" s="15" t="n">
        <f aca="false">Incidents!N42</f>
        <v>250000</v>
      </c>
      <c r="E4" s="12" t="n">
        <f aca="false">AVERAGE(C4:D4)</f>
        <v>250000</v>
      </c>
      <c r="F4" s="14" t="str">
        <f aca="false">Incidents!O42</f>
        <v>misdirected wire, not recovered</v>
      </c>
    </row>
    <row r="5" customFormat="false" ht="15" hidden="false" customHeight="false" outlineLevel="0" collapsed="false">
      <c r="A5" s="14" t="str">
        <f aca="false">Incidents!B47</f>
        <v>NIOCORP DEVELOPMENTS LTD</v>
      </c>
      <c r="B5" s="14" t="str">
        <f aca="false">Incidents!G47</f>
        <v>UND</v>
      </c>
      <c r="C5" s="15" t="n">
        <f aca="false">Incidents!M47</f>
        <v>500000</v>
      </c>
      <c r="D5" s="15" t="n">
        <f aca="false">Incidents!N47</f>
        <v>500000</v>
      </c>
      <c r="E5" s="12" t="n">
        <f aca="false">AVERAGE(C5:D5)</f>
        <v>500000</v>
      </c>
      <c r="F5" s="14" t="str">
        <f aca="false">Incidents!O47</f>
        <v>misdirected payments, recovery uncertain</v>
      </c>
    </row>
    <row r="6" customFormat="false" ht="15" hidden="false" customHeight="false" outlineLevel="0" collapsed="false">
      <c r="A6" s="14" t="str">
        <f aca="false">Incidents!B53</f>
        <v>Coinbase Global, Inc.</v>
      </c>
      <c r="B6" s="14" t="str">
        <f aca="false">Incidents!G53</f>
        <v>UND</v>
      </c>
      <c r="C6" s="15" t="n">
        <f aca="false">Incidents!M53</f>
        <v>180000000</v>
      </c>
      <c r="D6" s="15" t="n">
        <f aca="false">Incidents!N53</f>
        <v>400000000</v>
      </c>
      <c r="E6" s="12" t="n">
        <f aca="false">AVERAGE(C6:D6)</f>
        <v>290000000</v>
      </c>
      <c r="F6" s="14" t="str">
        <f aca="false">Incidents!O53</f>
        <v>preliminary estimate, remediation and customer reimbursement</v>
      </c>
    </row>
    <row r="7" customFormat="false" ht="15" hidden="false" customHeight="false" outlineLevel="0" collapsed="false">
      <c r="A7" s="14" t="str">
        <f aca="false">Incidents!B60</f>
        <v>DATA I/O CORP</v>
      </c>
      <c r="B7" s="14" t="str">
        <f aca="false">Incidents!G60</f>
        <v>UND</v>
      </c>
      <c r="C7" s="15" t="n">
        <f aca="false">Incidents!M60</f>
        <v>180000</v>
      </c>
      <c r="D7" s="15" t="n">
        <f aca="false">Incidents!N60</f>
        <v>180000</v>
      </c>
      <c r="E7" s="12" t="n">
        <f aca="false">AVERAGE(C7:D7)</f>
        <v>180000</v>
      </c>
      <c r="F7" s="14" t="str">
        <f aca="false">Incidents!O60</f>
        <v>Q3 2025 remediation expenses</v>
      </c>
    </row>
    <row r="8" customFormat="false" ht="15" hidden="false" customHeight="false" outlineLevel="0" collapsed="false">
      <c r="A8" s="14" t="str">
        <f aca="false">Incidents!B69</f>
        <v>Coupang, Inc.</v>
      </c>
      <c r="B8" s="14" t="str">
        <f aca="false">Incidents!G69</f>
        <v>UND</v>
      </c>
      <c r="C8" s="15" t="n">
        <f aca="false">Incidents!M69</f>
        <v>1200000000</v>
      </c>
      <c r="D8" s="15" t="n">
        <f aca="false">Incidents!N69</f>
        <v>1200000000</v>
      </c>
      <c r="E8" s="12" t="n">
        <f aca="false">AVERAGE(C8:D8)</f>
        <v>1200000000</v>
      </c>
      <c r="F8" s="14" t="str">
        <f aca="false">Incidents!O69</f>
        <v>customer compensation vouchers (~1.685T won)</v>
      </c>
    </row>
    <row r="9" customFormat="false" ht="15" hidden="false" customHeight="false" outlineLevel="0" collapsed="false">
      <c r="A9" s="4" t="s">
        <v>413</v>
      </c>
      <c r="C9" s="4" t="n">
        <f aca="false">COUNT(C2:C8)</f>
        <v>7</v>
      </c>
    </row>
    <row r="10" customFormat="false" ht="15" hidden="false" customHeight="false" outlineLevel="0" collapsed="false">
      <c r="A10" s="4" t="s">
        <v>414</v>
      </c>
      <c r="C10" s="4" t="n">
        <f aca="false">COUNTIF(B2:B8,"&lt;&gt;UND")</f>
        <v>1</v>
      </c>
    </row>
    <row r="12" customFormat="false" ht="15" hidden="false" customHeight="false" outlineLevel="0" collapsed="false">
      <c r="A12" s="11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7" t="s">
        <v>41</v>
      </c>
      <c r="B1" s="7" t="s">
        <v>416</v>
      </c>
      <c r="C1" s="7" t="s">
        <v>417</v>
      </c>
      <c r="D1" s="7" t="s">
        <v>418</v>
      </c>
    </row>
    <row r="2" customFormat="false" ht="15" hidden="false" customHeight="false" outlineLevel="0" collapsed="false">
      <c r="A2" s="16" t="s">
        <v>419</v>
      </c>
      <c r="B2" s="16" t="s">
        <v>420</v>
      </c>
      <c r="C2" s="16" t="s">
        <v>421</v>
      </c>
      <c r="D2" s="17"/>
    </row>
    <row r="3" customFormat="false" ht="15" hidden="false" customHeight="false" outlineLevel="0" collapsed="false">
      <c r="A3" s="16" t="s">
        <v>422</v>
      </c>
      <c r="B3" s="16" t="s">
        <v>423</v>
      </c>
      <c r="C3" s="16" t="s">
        <v>424</v>
      </c>
      <c r="D3" s="17"/>
    </row>
    <row r="4" customFormat="false" ht="15" hidden="false" customHeight="false" outlineLevel="0" collapsed="false">
      <c r="A4" s="16" t="s">
        <v>425</v>
      </c>
      <c r="B4" s="16" t="s">
        <v>423</v>
      </c>
      <c r="C4" s="16" t="s">
        <v>426</v>
      </c>
      <c r="D4" s="17"/>
    </row>
    <row r="5" customFormat="false" ht="23.85" hidden="false" customHeight="false" outlineLevel="0" collapsed="false">
      <c r="A5" s="16" t="s">
        <v>427</v>
      </c>
      <c r="B5" s="16" t="s">
        <v>420</v>
      </c>
      <c r="C5" s="16" t="s">
        <v>428</v>
      </c>
      <c r="D5" s="17"/>
    </row>
    <row r="6" customFormat="false" ht="15" hidden="false" customHeight="false" outlineLevel="0" collapsed="false">
      <c r="A6" s="16" t="s">
        <v>429</v>
      </c>
      <c r="B6" s="16" t="s">
        <v>430</v>
      </c>
      <c r="C6" s="16" t="s">
        <v>431</v>
      </c>
      <c r="D6" s="17"/>
    </row>
    <row r="7" customFormat="false" ht="15" hidden="false" customHeight="false" outlineLevel="0" collapsed="false">
      <c r="A7" s="16" t="s">
        <v>432</v>
      </c>
      <c r="B7" s="16" t="s">
        <v>433</v>
      </c>
      <c r="C7" s="16" t="s">
        <v>434</v>
      </c>
      <c r="D7" s="17"/>
    </row>
    <row r="9" customFormat="false" ht="15" hidden="false" customHeight="false" outlineLevel="0" collapsed="false">
      <c r="A9" s="11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7" t="s">
        <v>43</v>
      </c>
      <c r="B1" s="7" t="s">
        <v>41</v>
      </c>
      <c r="C1" s="7" t="s">
        <v>436</v>
      </c>
      <c r="D1" s="7" t="s">
        <v>437</v>
      </c>
      <c r="E1" s="7" t="s">
        <v>438</v>
      </c>
      <c r="F1" s="7" t="s">
        <v>439</v>
      </c>
    </row>
    <row r="2" customFormat="false" ht="15" hidden="false" customHeight="false" outlineLevel="0" collapsed="false">
      <c r="A2" s="5" t="s">
        <v>440</v>
      </c>
      <c r="B2" s="5" t="s">
        <v>441</v>
      </c>
      <c r="C2" s="5" t="s">
        <v>442</v>
      </c>
      <c r="D2" s="5" t="s">
        <v>443</v>
      </c>
      <c r="E2" s="5" t="s">
        <v>71</v>
      </c>
      <c r="F2" s="5" t="s">
        <v>444</v>
      </c>
    </row>
    <row r="3" customFormat="false" ht="15" hidden="false" customHeight="false" outlineLevel="0" collapsed="false">
      <c r="A3" s="5" t="s">
        <v>445</v>
      </c>
      <c r="B3" s="5" t="s">
        <v>446</v>
      </c>
      <c r="C3" s="5" t="s">
        <v>447</v>
      </c>
      <c r="D3" s="5" t="s">
        <v>443</v>
      </c>
      <c r="E3" s="5" t="s">
        <v>71</v>
      </c>
      <c r="F3" s="5" t="s">
        <v>444</v>
      </c>
    </row>
    <row r="4" customFormat="false" ht="15" hidden="false" customHeight="false" outlineLevel="0" collapsed="false">
      <c r="A4" s="5" t="s">
        <v>448</v>
      </c>
      <c r="B4" s="5" t="s">
        <v>449</v>
      </c>
      <c r="C4" s="5" t="s">
        <v>450</v>
      </c>
      <c r="D4" s="5" t="s">
        <v>443</v>
      </c>
      <c r="E4" s="5" t="s">
        <v>71</v>
      </c>
      <c r="F4" s="5" t="s">
        <v>444</v>
      </c>
    </row>
    <row r="5" customFormat="false" ht="15" hidden="false" customHeight="false" outlineLevel="0" collapsed="false">
      <c r="A5" s="5" t="s">
        <v>229</v>
      </c>
      <c r="B5" s="5" t="s">
        <v>451</v>
      </c>
      <c r="C5" s="5" t="s">
        <v>228</v>
      </c>
      <c r="D5" s="5" t="s">
        <v>443</v>
      </c>
      <c r="E5" s="5" t="s">
        <v>71</v>
      </c>
      <c r="F5" s="5" t="s">
        <v>452</v>
      </c>
    </row>
    <row r="6" customFormat="false" ht="15" hidden="false" customHeight="false" outlineLevel="0" collapsed="false">
      <c r="A6" s="5" t="s">
        <v>234</v>
      </c>
      <c r="B6" s="5" t="s">
        <v>451</v>
      </c>
      <c r="C6" s="5" t="s">
        <v>233</v>
      </c>
      <c r="D6" s="5" t="s">
        <v>443</v>
      </c>
      <c r="E6" s="5" t="s">
        <v>71</v>
      </c>
      <c r="F6" s="5" t="s">
        <v>452</v>
      </c>
    </row>
    <row r="7" customFormat="false" ht="15" hidden="false" customHeight="false" outlineLevel="0" collapsed="false">
      <c r="A7" s="5" t="s">
        <v>453</v>
      </c>
      <c r="B7" s="5" t="s">
        <v>454</v>
      </c>
      <c r="C7" s="5" t="s">
        <v>455</v>
      </c>
      <c r="D7" s="5" t="s">
        <v>443</v>
      </c>
      <c r="E7" s="5" t="s">
        <v>71</v>
      </c>
      <c r="F7" s="5" t="s">
        <v>444</v>
      </c>
    </row>
    <row r="8" customFormat="false" ht="15" hidden="false" customHeight="false" outlineLevel="0" collapsed="false">
      <c r="A8" s="5" t="s">
        <v>333</v>
      </c>
      <c r="B8" s="5" t="s">
        <v>456</v>
      </c>
      <c r="C8" s="5" t="s">
        <v>332</v>
      </c>
      <c r="D8" s="5" t="s">
        <v>443</v>
      </c>
      <c r="E8" s="5" t="s">
        <v>71</v>
      </c>
      <c r="F8" s="5" t="s">
        <v>452</v>
      </c>
    </row>
    <row r="9" customFormat="false" ht="15" hidden="false" customHeight="false" outlineLevel="0" collapsed="false">
      <c r="A9" s="5" t="s">
        <v>343</v>
      </c>
      <c r="B9" s="5" t="s">
        <v>457</v>
      </c>
      <c r="C9" s="5" t="s">
        <v>342</v>
      </c>
      <c r="D9" s="5" t="s">
        <v>443</v>
      </c>
      <c r="E9" s="5" t="s">
        <v>71</v>
      </c>
      <c r="F9" s="5" t="s">
        <v>452</v>
      </c>
    </row>
    <row r="10" customFormat="false" ht="15" hidden="false" customHeight="false" outlineLevel="0" collapsed="false">
      <c r="A10" s="5" t="s">
        <v>458</v>
      </c>
      <c r="B10" s="5" t="s">
        <v>459</v>
      </c>
      <c r="C10" s="5" t="s">
        <v>450</v>
      </c>
      <c r="D10" s="5" t="s">
        <v>443</v>
      </c>
      <c r="E10" s="5" t="s">
        <v>71</v>
      </c>
      <c r="F10" s="5" t="s">
        <v>444</v>
      </c>
    </row>
    <row r="11" customFormat="false" ht="15" hidden="false" customHeight="false" outlineLevel="0" collapsed="false">
      <c r="A11" s="5" t="s">
        <v>460</v>
      </c>
      <c r="B11" s="5" t="s">
        <v>461</v>
      </c>
      <c r="C11" s="5" t="s">
        <v>462</v>
      </c>
      <c r="D11" s="5" t="s">
        <v>443</v>
      </c>
      <c r="E11" s="5" t="s">
        <v>71</v>
      </c>
      <c r="F11" s="5" t="s">
        <v>444</v>
      </c>
    </row>
    <row r="12" customFormat="false" ht="15" hidden="false" customHeight="false" outlineLevel="0" collapsed="false">
      <c r="A12" s="5" t="s">
        <v>463</v>
      </c>
      <c r="B12" s="5" t="s">
        <v>461</v>
      </c>
      <c r="C12" s="5" t="s">
        <v>464</v>
      </c>
      <c r="D12" s="5" t="s">
        <v>443</v>
      </c>
      <c r="E12" s="5" t="s">
        <v>71</v>
      </c>
      <c r="F12" s="5" t="s">
        <v>444</v>
      </c>
    </row>
    <row r="13" customFormat="false" ht="15" hidden="false" customHeight="false" outlineLevel="0" collapsed="false">
      <c r="A13" s="5" t="s">
        <v>275</v>
      </c>
      <c r="B13" s="5" t="s">
        <v>465</v>
      </c>
      <c r="C13" s="5" t="s">
        <v>274</v>
      </c>
      <c r="D13" s="5" t="s">
        <v>443</v>
      </c>
      <c r="E13" s="5" t="s">
        <v>71</v>
      </c>
      <c r="F13" s="5" t="s">
        <v>452</v>
      </c>
    </row>
    <row r="14" customFormat="false" ht="15" hidden="false" customHeight="false" outlineLevel="0" collapsed="false">
      <c r="A14" s="5" t="s">
        <v>209</v>
      </c>
      <c r="B14" s="5" t="s">
        <v>466</v>
      </c>
      <c r="C14" s="5" t="s">
        <v>208</v>
      </c>
      <c r="D14" s="5" t="s">
        <v>443</v>
      </c>
      <c r="E14" s="5" t="s">
        <v>58</v>
      </c>
      <c r="F14" s="5" t="s">
        <v>452</v>
      </c>
    </row>
    <row r="15" customFormat="false" ht="15" hidden="false" customHeight="false" outlineLevel="0" collapsed="false">
      <c r="A15" s="5" t="s">
        <v>467</v>
      </c>
      <c r="B15" s="5" t="s">
        <v>468</v>
      </c>
      <c r="C15" s="5" t="s">
        <v>469</v>
      </c>
      <c r="D15" s="5" t="s">
        <v>443</v>
      </c>
      <c r="E15" s="5" t="s">
        <v>71</v>
      </c>
      <c r="F15" s="5" t="s">
        <v>470</v>
      </c>
    </row>
    <row r="16" customFormat="false" ht="15" hidden="false" customHeight="false" outlineLevel="0" collapsed="false">
      <c r="A16" s="5" t="s">
        <v>198</v>
      </c>
      <c r="B16" s="5" t="s">
        <v>471</v>
      </c>
      <c r="C16" s="5" t="s">
        <v>197</v>
      </c>
      <c r="D16" s="5" t="s">
        <v>443</v>
      </c>
      <c r="E16" s="5" t="s">
        <v>71</v>
      </c>
      <c r="F16" s="5" t="s">
        <v>452</v>
      </c>
    </row>
    <row r="17" customFormat="false" ht="15" hidden="false" customHeight="false" outlineLevel="0" collapsed="false">
      <c r="A17" s="5" t="s">
        <v>249</v>
      </c>
      <c r="B17" s="5" t="s">
        <v>472</v>
      </c>
      <c r="C17" s="5" t="s">
        <v>233</v>
      </c>
      <c r="D17" s="5" t="s">
        <v>443</v>
      </c>
      <c r="E17" s="5" t="s">
        <v>71</v>
      </c>
      <c r="F17" s="5" t="s">
        <v>452</v>
      </c>
    </row>
    <row r="18" customFormat="false" ht="15" hidden="false" customHeight="false" outlineLevel="0" collapsed="false">
      <c r="A18" s="5" t="s">
        <v>473</v>
      </c>
      <c r="B18" s="5" t="s">
        <v>474</v>
      </c>
      <c r="C18" s="5" t="s">
        <v>475</v>
      </c>
      <c r="D18" s="5" t="s">
        <v>443</v>
      </c>
      <c r="E18" s="5" t="s">
        <v>71</v>
      </c>
      <c r="F18" s="5" t="s">
        <v>444</v>
      </c>
    </row>
    <row r="19" customFormat="false" ht="15" hidden="false" customHeight="false" outlineLevel="0" collapsed="false">
      <c r="A19" s="5" t="s">
        <v>476</v>
      </c>
      <c r="B19" s="5" t="s">
        <v>474</v>
      </c>
      <c r="C19" s="5" t="s">
        <v>477</v>
      </c>
      <c r="D19" s="5" t="s">
        <v>443</v>
      </c>
      <c r="E19" s="5" t="s">
        <v>71</v>
      </c>
      <c r="F19" s="5" t="s">
        <v>444</v>
      </c>
    </row>
    <row r="20" customFormat="false" ht="15" hidden="false" customHeight="false" outlineLevel="0" collapsed="false">
      <c r="A20" s="5" t="s">
        <v>478</v>
      </c>
      <c r="B20" s="5" t="s">
        <v>474</v>
      </c>
      <c r="C20" s="5" t="s">
        <v>479</v>
      </c>
      <c r="D20" s="5" t="s">
        <v>443</v>
      </c>
      <c r="E20" s="5" t="s">
        <v>71</v>
      </c>
      <c r="F20" s="5" t="s">
        <v>444</v>
      </c>
    </row>
    <row r="21" customFormat="false" ht="15" hidden="false" customHeight="false" outlineLevel="0" collapsed="false">
      <c r="A21" s="5" t="s">
        <v>132</v>
      </c>
      <c r="B21" s="5" t="s">
        <v>480</v>
      </c>
      <c r="C21" s="5" t="s">
        <v>131</v>
      </c>
      <c r="D21" s="5" t="s">
        <v>443</v>
      </c>
      <c r="E21" s="5" t="s">
        <v>58</v>
      </c>
      <c r="F21" s="5" t="s">
        <v>452</v>
      </c>
    </row>
    <row r="22" customFormat="false" ht="15" hidden="false" customHeight="false" outlineLevel="0" collapsed="false">
      <c r="A22" s="5" t="s">
        <v>481</v>
      </c>
      <c r="B22" s="5" t="s">
        <v>482</v>
      </c>
      <c r="C22" s="5" t="s">
        <v>233</v>
      </c>
      <c r="D22" s="5" t="s">
        <v>443</v>
      </c>
      <c r="E22" s="5" t="s">
        <v>71</v>
      </c>
      <c r="F22" s="5" t="s">
        <v>444</v>
      </c>
    </row>
    <row r="23" customFormat="false" ht="15" hidden="false" customHeight="false" outlineLevel="0" collapsed="false">
      <c r="A23" s="5" t="s">
        <v>215</v>
      </c>
      <c r="B23" s="5" t="s">
        <v>483</v>
      </c>
      <c r="C23" s="5" t="s">
        <v>214</v>
      </c>
      <c r="D23" s="5" t="s">
        <v>443</v>
      </c>
      <c r="E23" s="5" t="s">
        <v>58</v>
      </c>
      <c r="F23" s="5" t="s">
        <v>452</v>
      </c>
    </row>
    <row r="24" customFormat="false" ht="15" hidden="false" customHeight="false" outlineLevel="0" collapsed="false">
      <c r="A24" s="5" t="s">
        <v>484</v>
      </c>
      <c r="B24" s="5" t="s">
        <v>483</v>
      </c>
      <c r="C24" s="5" t="s">
        <v>485</v>
      </c>
      <c r="D24" s="5" t="s">
        <v>486</v>
      </c>
      <c r="E24" s="5" t="s">
        <v>58</v>
      </c>
      <c r="F24" s="5" t="s">
        <v>487</v>
      </c>
    </row>
    <row r="25" customFormat="false" ht="15" hidden="false" customHeight="false" outlineLevel="0" collapsed="false">
      <c r="A25" s="5" t="s">
        <v>380</v>
      </c>
      <c r="B25" s="5" t="s">
        <v>488</v>
      </c>
      <c r="C25" s="5" t="s">
        <v>379</v>
      </c>
      <c r="D25" s="5" t="s">
        <v>443</v>
      </c>
      <c r="E25" s="5" t="s">
        <v>71</v>
      </c>
      <c r="F25" s="5" t="s">
        <v>452</v>
      </c>
    </row>
    <row r="26" customFormat="false" ht="15" hidden="false" customHeight="false" outlineLevel="0" collapsed="false">
      <c r="A26" s="5" t="s">
        <v>489</v>
      </c>
      <c r="B26" s="5" t="s">
        <v>490</v>
      </c>
      <c r="C26" s="5" t="s">
        <v>491</v>
      </c>
      <c r="D26" s="5" t="s">
        <v>443</v>
      </c>
      <c r="E26" s="5" t="s">
        <v>71</v>
      </c>
      <c r="F26" s="5" t="s">
        <v>444</v>
      </c>
    </row>
    <row r="27" customFormat="false" ht="15" hidden="false" customHeight="false" outlineLevel="0" collapsed="false">
      <c r="A27" s="5" t="s">
        <v>492</v>
      </c>
      <c r="B27" s="5" t="s">
        <v>493</v>
      </c>
      <c r="C27" s="5" t="s">
        <v>136</v>
      </c>
      <c r="D27" s="5" t="s">
        <v>443</v>
      </c>
      <c r="E27" s="5" t="s">
        <v>71</v>
      </c>
      <c r="F27" s="5" t="s">
        <v>444</v>
      </c>
    </row>
    <row r="28" customFormat="false" ht="15" hidden="false" customHeight="false" outlineLevel="0" collapsed="false">
      <c r="A28" s="5" t="s">
        <v>153</v>
      </c>
      <c r="B28" s="5" t="s">
        <v>493</v>
      </c>
      <c r="C28" s="5" t="s">
        <v>152</v>
      </c>
      <c r="D28" s="5" t="s">
        <v>443</v>
      </c>
      <c r="E28" s="5" t="s">
        <v>58</v>
      </c>
      <c r="F28" s="5" t="s">
        <v>452</v>
      </c>
    </row>
    <row r="29" customFormat="false" ht="15" hidden="false" customHeight="false" outlineLevel="0" collapsed="false">
      <c r="A29" s="5" t="s">
        <v>494</v>
      </c>
      <c r="B29" s="5" t="s">
        <v>493</v>
      </c>
      <c r="C29" s="5" t="s">
        <v>495</v>
      </c>
      <c r="D29" s="5" t="s">
        <v>486</v>
      </c>
      <c r="E29" s="5" t="s">
        <v>58</v>
      </c>
      <c r="F29" s="5" t="s">
        <v>496</v>
      </c>
    </row>
    <row r="30" customFormat="false" ht="15" hidden="false" customHeight="false" outlineLevel="0" collapsed="false">
      <c r="A30" s="5" t="s">
        <v>497</v>
      </c>
      <c r="B30" s="5" t="s">
        <v>493</v>
      </c>
      <c r="C30" s="5" t="s">
        <v>498</v>
      </c>
      <c r="D30" s="5" t="s">
        <v>443</v>
      </c>
      <c r="E30" s="5" t="s">
        <v>71</v>
      </c>
      <c r="F30" s="5" t="s">
        <v>444</v>
      </c>
    </row>
    <row r="31" customFormat="false" ht="15" hidden="false" customHeight="false" outlineLevel="0" collapsed="false">
      <c r="A31" s="5" t="s">
        <v>499</v>
      </c>
      <c r="B31" s="5" t="s">
        <v>500</v>
      </c>
      <c r="C31" s="5" t="s">
        <v>501</v>
      </c>
      <c r="D31" s="5" t="s">
        <v>443</v>
      </c>
      <c r="E31" s="5" t="s">
        <v>71</v>
      </c>
      <c r="F31" s="5" t="s">
        <v>444</v>
      </c>
    </row>
    <row r="32" customFormat="false" ht="15" hidden="false" customHeight="false" outlineLevel="0" collapsed="false">
      <c r="A32" s="5" t="s">
        <v>502</v>
      </c>
      <c r="B32" s="5" t="s">
        <v>500</v>
      </c>
      <c r="C32" s="5" t="s">
        <v>167</v>
      </c>
      <c r="D32" s="5" t="s">
        <v>443</v>
      </c>
      <c r="E32" s="5" t="s">
        <v>71</v>
      </c>
      <c r="F32" s="5" t="s">
        <v>444</v>
      </c>
    </row>
    <row r="33" customFormat="false" ht="15" hidden="false" customHeight="false" outlineLevel="0" collapsed="false">
      <c r="A33" s="5" t="s">
        <v>395</v>
      </c>
      <c r="B33" s="5" t="s">
        <v>503</v>
      </c>
      <c r="C33" s="5" t="s">
        <v>394</v>
      </c>
      <c r="D33" s="5" t="s">
        <v>443</v>
      </c>
      <c r="E33" s="5" t="s">
        <v>58</v>
      </c>
      <c r="F33" s="5" t="s">
        <v>452</v>
      </c>
    </row>
    <row r="34" customFormat="false" ht="15" hidden="false" customHeight="false" outlineLevel="0" collapsed="false">
      <c r="A34" s="5" t="s">
        <v>504</v>
      </c>
      <c r="B34" s="5" t="s">
        <v>505</v>
      </c>
      <c r="C34" s="5" t="s">
        <v>506</v>
      </c>
      <c r="D34" s="5" t="s">
        <v>443</v>
      </c>
      <c r="E34" s="5" t="s">
        <v>71</v>
      </c>
      <c r="F34" s="5" t="s">
        <v>444</v>
      </c>
    </row>
    <row r="35" customFormat="false" ht="15" hidden="false" customHeight="false" outlineLevel="0" collapsed="false">
      <c r="A35" s="5" t="s">
        <v>507</v>
      </c>
      <c r="B35" s="5" t="s">
        <v>508</v>
      </c>
      <c r="C35" s="5" t="s">
        <v>509</v>
      </c>
      <c r="D35" s="5" t="s">
        <v>443</v>
      </c>
      <c r="E35" s="5" t="s">
        <v>71</v>
      </c>
      <c r="F35" s="5" t="s">
        <v>444</v>
      </c>
    </row>
    <row r="36" customFormat="false" ht="15" hidden="false" customHeight="false" outlineLevel="0" collapsed="false">
      <c r="A36" s="5" t="s">
        <v>510</v>
      </c>
      <c r="B36" s="5" t="s">
        <v>508</v>
      </c>
      <c r="C36" s="5" t="s">
        <v>511</v>
      </c>
      <c r="D36" s="5" t="s">
        <v>443</v>
      </c>
      <c r="E36" s="5" t="s">
        <v>71</v>
      </c>
      <c r="F36" s="5" t="s">
        <v>444</v>
      </c>
    </row>
    <row r="37" customFormat="false" ht="15" hidden="false" customHeight="false" outlineLevel="0" collapsed="false">
      <c r="A37" s="5" t="s">
        <v>512</v>
      </c>
      <c r="B37" s="5" t="s">
        <v>513</v>
      </c>
      <c r="C37" s="5" t="s">
        <v>514</v>
      </c>
      <c r="D37" s="5" t="s">
        <v>443</v>
      </c>
      <c r="E37" s="5" t="s">
        <v>71</v>
      </c>
      <c r="F37" s="5" t="s">
        <v>515</v>
      </c>
    </row>
    <row r="38" customFormat="false" ht="15" hidden="false" customHeight="false" outlineLevel="0" collapsed="false">
      <c r="A38" s="5" t="s">
        <v>306</v>
      </c>
      <c r="B38" s="5" t="s">
        <v>516</v>
      </c>
      <c r="C38" s="5" t="s">
        <v>305</v>
      </c>
      <c r="D38" s="5" t="s">
        <v>443</v>
      </c>
      <c r="E38" s="5" t="s">
        <v>58</v>
      </c>
      <c r="F38" s="5" t="s">
        <v>452</v>
      </c>
    </row>
    <row r="39" customFormat="false" ht="15" hidden="false" customHeight="false" outlineLevel="0" collapsed="false">
      <c r="A39" s="5" t="s">
        <v>220</v>
      </c>
      <c r="B39" s="5" t="s">
        <v>517</v>
      </c>
      <c r="C39" s="5" t="s">
        <v>219</v>
      </c>
      <c r="D39" s="5" t="s">
        <v>443</v>
      </c>
      <c r="E39" s="5" t="s">
        <v>71</v>
      </c>
      <c r="F39" s="5" t="s">
        <v>452</v>
      </c>
    </row>
    <row r="40" customFormat="false" ht="15" hidden="false" customHeight="false" outlineLevel="0" collapsed="false">
      <c r="A40" s="5" t="s">
        <v>112</v>
      </c>
      <c r="B40" s="5" t="s">
        <v>518</v>
      </c>
      <c r="C40" s="5" t="s">
        <v>111</v>
      </c>
      <c r="D40" s="5" t="s">
        <v>443</v>
      </c>
      <c r="E40" s="5" t="s">
        <v>58</v>
      </c>
      <c r="F40" s="5" t="s">
        <v>452</v>
      </c>
    </row>
    <row r="41" customFormat="false" ht="15" hidden="false" customHeight="false" outlineLevel="0" collapsed="false">
      <c r="A41" s="5" t="s">
        <v>519</v>
      </c>
      <c r="B41" s="5" t="s">
        <v>518</v>
      </c>
      <c r="C41" s="5" t="s">
        <v>520</v>
      </c>
      <c r="D41" s="5" t="s">
        <v>486</v>
      </c>
      <c r="E41" s="5" t="s">
        <v>58</v>
      </c>
      <c r="F41" s="5" t="s">
        <v>521</v>
      </c>
    </row>
    <row r="42" customFormat="false" ht="15" hidden="false" customHeight="false" outlineLevel="0" collapsed="false">
      <c r="A42" s="5" t="s">
        <v>322</v>
      </c>
      <c r="B42" s="5" t="s">
        <v>522</v>
      </c>
      <c r="C42" s="5" t="s">
        <v>321</v>
      </c>
      <c r="D42" s="5" t="s">
        <v>443</v>
      </c>
      <c r="E42" s="5" t="s">
        <v>58</v>
      </c>
      <c r="F42" s="5" t="s">
        <v>452</v>
      </c>
    </row>
    <row r="43" customFormat="false" ht="15" hidden="false" customHeight="false" outlineLevel="0" collapsed="false">
      <c r="A43" s="5" t="s">
        <v>407</v>
      </c>
      <c r="B43" s="5" t="s">
        <v>523</v>
      </c>
      <c r="C43" s="5" t="s">
        <v>406</v>
      </c>
      <c r="D43" s="5" t="s">
        <v>443</v>
      </c>
      <c r="E43" s="5" t="s">
        <v>58</v>
      </c>
      <c r="F43" s="5" t="s">
        <v>452</v>
      </c>
    </row>
    <row r="44" customFormat="false" ht="15" hidden="false" customHeight="false" outlineLevel="0" collapsed="false">
      <c r="A44" s="5" t="s">
        <v>524</v>
      </c>
      <c r="B44" s="5" t="s">
        <v>523</v>
      </c>
      <c r="C44" s="5" t="s">
        <v>525</v>
      </c>
      <c r="D44" s="5" t="s">
        <v>486</v>
      </c>
      <c r="E44" s="5" t="s">
        <v>58</v>
      </c>
      <c r="F44" s="5" t="s">
        <v>526</v>
      </c>
    </row>
    <row r="45" customFormat="false" ht="15" hidden="false" customHeight="false" outlineLevel="0" collapsed="false">
      <c r="A45" s="5" t="s">
        <v>204</v>
      </c>
      <c r="B45" s="5" t="s">
        <v>527</v>
      </c>
      <c r="C45" s="5" t="s">
        <v>203</v>
      </c>
      <c r="D45" s="5" t="s">
        <v>443</v>
      </c>
      <c r="E45" s="5" t="s">
        <v>71</v>
      </c>
      <c r="F45" s="5" t="s">
        <v>452</v>
      </c>
    </row>
    <row r="46" customFormat="false" ht="15" hidden="false" customHeight="false" outlineLevel="0" collapsed="false">
      <c r="A46" s="5" t="s">
        <v>528</v>
      </c>
      <c r="B46" s="5" t="s">
        <v>527</v>
      </c>
      <c r="C46" s="5" t="s">
        <v>529</v>
      </c>
      <c r="D46" s="5" t="s">
        <v>443</v>
      </c>
      <c r="E46" s="5" t="s">
        <v>58</v>
      </c>
      <c r="F46" s="5" t="s">
        <v>530</v>
      </c>
    </row>
    <row r="47" customFormat="false" ht="15" hidden="false" customHeight="false" outlineLevel="0" collapsed="false">
      <c r="A47" s="5" t="s">
        <v>531</v>
      </c>
      <c r="B47" s="5" t="s">
        <v>532</v>
      </c>
      <c r="C47" s="5" t="s">
        <v>533</v>
      </c>
      <c r="D47" s="5" t="s">
        <v>443</v>
      </c>
      <c r="E47" s="5" t="s">
        <v>71</v>
      </c>
      <c r="F47" s="5" t="s">
        <v>534</v>
      </c>
    </row>
    <row r="48" customFormat="false" ht="15" hidden="false" customHeight="false" outlineLevel="0" collapsed="false">
      <c r="A48" s="5" t="s">
        <v>358</v>
      </c>
      <c r="B48" s="5" t="s">
        <v>535</v>
      </c>
      <c r="C48" s="5" t="s">
        <v>357</v>
      </c>
      <c r="D48" s="5" t="s">
        <v>443</v>
      </c>
      <c r="E48" s="5" t="s">
        <v>58</v>
      </c>
      <c r="F48" s="5" t="s">
        <v>452</v>
      </c>
    </row>
    <row r="49" customFormat="false" ht="15" hidden="false" customHeight="false" outlineLevel="0" collapsed="false">
      <c r="A49" s="5" t="s">
        <v>536</v>
      </c>
      <c r="B49" s="5" t="s">
        <v>535</v>
      </c>
      <c r="C49" s="5" t="s">
        <v>537</v>
      </c>
      <c r="D49" s="5" t="s">
        <v>443</v>
      </c>
      <c r="E49" s="5" t="s">
        <v>58</v>
      </c>
      <c r="F49" s="5" t="s">
        <v>538</v>
      </c>
    </row>
    <row r="50" customFormat="false" ht="15" hidden="false" customHeight="false" outlineLevel="0" collapsed="false">
      <c r="A50" s="5" t="s">
        <v>539</v>
      </c>
      <c r="B50" s="5" t="s">
        <v>540</v>
      </c>
      <c r="C50" s="5" t="s">
        <v>541</v>
      </c>
      <c r="D50" s="5" t="s">
        <v>443</v>
      </c>
      <c r="E50" s="5" t="s">
        <v>71</v>
      </c>
      <c r="F50" s="5" t="s">
        <v>444</v>
      </c>
    </row>
    <row r="51" customFormat="false" ht="15" hidden="false" customHeight="false" outlineLevel="0" collapsed="false">
      <c r="A51" s="5" t="s">
        <v>542</v>
      </c>
      <c r="B51" s="5" t="s">
        <v>540</v>
      </c>
      <c r="C51" s="5" t="s">
        <v>541</v>
      </c>
      <c r="D51" s="5" t="s">
        <v>443</v>
      </c>
      <c r="E51" s="5" t="s">
        <v>71</v>
      </c>
      <c r="F51" s="5" t="s">
        <v>444</v>
      </c>
    </row>
    <row r="52" customFormat="false" ht="15" hidden="false" customHeight="false" outlineLevel="0" collapsed="false">
      <c r="A52" s="5" t="s">
        <v>543</v>
      </c>
      <c r="B52" s="5" t="s">
        <v>544</v>
      </c>
      <c r="C52" s="5" t="s">
        <v>545</v>
      </c>
      <c r="D52" s="5" t="s">
        <v>443</v>
      </c>
      <c r="E52" s="5" t="s">
        <v>71</v>
      </c>
      <c r="F52" s="5" t="s">
        <v>470</v>
      </c>
    </row>
    <row r="53" customFormat="false" ht="15" hidden="false" customHeight="false" outlineLevel="0" collapsed="false">
      <c r="A53" s="5" t="s">
        <v>546</v>
      </c>
      <c r="B53" s="5" t="s">
        <v>544</v>
      </c>
      <c r="C53" s="5" t="s">
        <v>279</v>
      </c>
      <c r="D53" s="5" t="s">
        <v>443</v>
      </c>
      <c r="E53" s="5" t="s">
        <v>71</v>
      </c>
      <c r="F53" s="5" t="s">
        <v>470</v>
      </c>
    </row>
    <row r="54" customFormat="false" ht="15" hidden="false" customHeight="false" outlineLevel="0" collapsed="false">
      <c r="A54" s="5" t="s">
        <v>147</v>
      </c>
      <c r="B54" s="5" t="s">
        <v>547</v>
      </c>
      <c r="C54" s="5" t="s">
        <v>146</v>
      </c>
      <c r="D54" s="5" t="s">
        <v>443</v>
      </c>
      <c r="E54" s="5" t="s">
        <v>58</v>
      </c>
      <c r="F54" s="5" t="s">
        <v>452</v>
      </c>
    </row>
    <row r="55" customFormat="false" ht="15" hidden="false" customHeight="false" outlineLevel="0" collapsed="false">
      <c r="A55" s="5" t="s">
        <v>157</v>
      </c>
      <c r="B55" s="5" t="s">
        <v>548</v>
      </c>
      <c r="C55" s="5" t="s">
        <v>152</v>
      </c>
      <c r="D55" s="5" t="s">
        <v>443</v>
      </c>
      <c r="E55" s="5" t="s">
        <v>71</v>
      </c>
      <c r="F55" s="5" t="s">
        <v>452</v>
      </c>
    </row>
    <row r="56" customFormat="false" ht="15" hidden="false" customHeight="false" outlineLevel="0" collapsed="false">
      <c r="A56" s="5" t="s">
        <v>549</v>
      </c>
      <c r="B56" s="5" t="s">
        <v>550</v>
      </c>
      <c r="C56" s="5" t="s">
        <v>551</v>
      </c>
      <c r="D56" s="5" t="s">
        <v>443</v>
      </c>
      <c r="E56" s="5" t="s">
        <v>71</v>
      </c>
      <c r="F56" s="5" t="s">
        <v>444</v>
      </c>
    </row>
    <row r="57" customFormat="false" ht="15" hidden="false" customHeight="false" outlineLevel="0" collapsed="false">
      <c r="A57" s="5" t="s">
        <v>552</v>
      </c>
      <c r="B57" s="5" t="s">
        <v>553</v>
      </c>
      <c r="C57" s="5" t="s">
        <v>554</v>
      </c>
      <c r="D57" s="5" t="s">
        <v>443</v>
      </c>
      <c r="E57" s="5" t="s">
        <v>71</v>
      </c>
      <c r="F57" s="5" t="s">
        <v>444</v>
      </c>
    </row>
    <row r="58" customFormat="false" ht="15" hidden="false" customHeight="false" outlineLevel="0" collapsed="false">
      <c r="A58" s="5" t="s">
        <v>270</v>
      </c>
      <c r="B58" s="5" t="s">
        <v>555</v>
      </c>
      <c r="C58" s="5" t="s">
        <v>269</v>
      </c>
      <c r="D58" s="5" t="s">
        <v>443</v>
      </c>
      <c r="E58" s="5" t="s">
        <v>58</v>
      </c>
      <c r="F58" s="5" t="s">
        <v>452</v>
      </c>
    </row>
    <row r="59" customFormat="false" ht="15" hidden="false" customHeight="false" outlineLevel="0" collapsed="false">
      <c r="A59" s="5" t="s">
        <v>556</v>
      </c>
      <c r="B59" s="5" t="s">
        <v>557</v>
      </c>
      <c r="C59" s="5" t="s">
        <v>558</v>
      </c>
      <c r="D59" s="5" t="s">
        <v>486</v>
      </c>
      <c r="E59" s="5" t="s">
        <v>58</v>
      </c>
      <c r="F59" s="5" t="s">
        <v>559</v>
      </c>
    </row>
    <row r="60" customFormat="false" ht="15" hidden="false" customHeight="false" outlineLevel="0" collapsed="false">
      <c r="A60" s="5" t="s">
        <v>369</v>
      </c>
      <c r="B60" s="5" t="s">
        <v>560</v>
      </c>
      <c r="C60" s="5" t="s">
        <v>368</v>
      </c>
      <c r="D60" s="5" t="s">
        <v>443</v>
      </c>
      <c r="E60" s="5" t="s">
        <v>71</v>
      </c>
      <c r="F60" s="5" t="s">
        <v>452</v>
      </c>
    </row>
    <row r="61" customFormat="false" ht="15" hidden="false" customHeight="false" outlineLevel="0" collapsed="false">
      <c r="A61" s="5" t="s">
        <v>561</v>
      </c>
      <c r="B61" s="5" t="s">
        <v>562</v>
      </c>
      <c r="C61" s="5" t="s">
        <v>563</v>
      </c>
      <c r="D61" s="5" t="s">
        <v>443</v>
      </c>
      <c r="E61" s="5" t="s">
        <v>71</v>
      </c>
      <c r="F61" s="5" t="s">
        <v>564</v>
      </c>
    </row>
    <row r="62" customFormat="false" ht="15" hidden="false" customHeight="false" outlineLevel="0" collapsed="false">
      <c r="A62" s="5" t="s">
        <v>565</v>
      </c>
      <c r="B62" s="5" t="s">
        <v>566</v>
      </c>
      <c r="C62" s="5" t="s">
        <v>567</v>
      </c>
      <c r="D62" s="5" t="s">
        <v>443</v>
      </c>
      <c r="E62" s="5" t="s">
        <v>71</v>
      </c>
      <c r="F62" s="5" t="s">
        <v>444</v>
      </c>
    </row>
    <row r="63" customFormat="false" ht="15" hidden="false" customHeight="false" outlineLevel="0" collapsed="false">
      <c r="A63" s="5" t="s">
        <v>385</v>
      </c>
      <c r="B63" s="5" t="s">
        <v>568</v>
      </c>
      <c r="C63" s="5" t="s">
        <v>384</v>
      </c>
      <c r="D63" s="5" t="s">
        <v>443</v>
      </c>
      <c r="E63" s="5" t="s">
        <v>58</v>
      </c>
      <c r="F63" s="5" t="s">
        <v>452</v>
      </c>
    </row>
    <row r="64" customFormat="false" ht="15" hidden="false" customHeight="false" outlineLevel="0" collapsed="false">
      <c r="A64" s="5" t="s">
        <v>569</v>
      </c>
      <c r="B64" s="5" t="s">
        <v>570</v>
      </c>
      <c r="C64" s="5" t="s">
        <v>571</v>
      </c>
      <c r="D64" s="5" t="s">
        <v>443</v>
      </c>
      <c r="E64" s="5" t="s">
        <v>71</v>
      </c>
      <c r="F64" s="5" t="s">
        <v>444</v>
      </c>
    </row>
    <row r="65" customFormat="false" ht="15" hidden="false" customHeight="false" outlineLevel="0" collapsed="false">
      <c r="A65" s="5" t="s">
        <v>117</v>
      </c>
      <c r="B65" s="5" t="s">
        <v>115</v>
      </c>
      <c r="C65" s="5" t="s">
        <v>116</v>
      </c>
      <c r="D65" s="5" t="s">
        <v>443</v>
      </c>
      <c r="E65" s="5" t="s">
        <v>58</v>
      </c>
      <c r="F65" s="5" t="s">
        <v>452</v>
      </c>
    </row>
    <row r="66" customFormat="false" ht="15" hidden="false" customHeight="false" outlineLevel="0" collapsed="false">
      <c r="A66" s="5" t="s">
        <v>78</v>
      </c>
      <c r="B66" s="5" t="s">
        <v>572</v>
      </c>
      <c r="C66" s="5" t="s">
        <v>77</v>
      </c>
      <c r="D66" s="5" t="s">
        <v>486</v>
      </c>
      <c r="E66" s="5" t="s">
        <v>71</v>
      </c>
      <c r="F66" s="5" t="s">
        <v>452</v>
      </c>
    </row>
    <row r="67" customFormat="false" ht="15" hidden="false" customHeight="false" outlineLevel="0" collapsed="false">
      <c r="A67" s="5" t="s">
        <v>573</v>
      </c>
      <c r="B67" s="5" t="s">
        <v>574</v>
      </c>
      <c r="C67" s="5" t="s">
        <v>575</v>
      </c>
      <c r="D67" s="5" t="s">
        <v>443</v>
      </c>
      <c r="E67" s="5" t="s">
        <v>71</v>
      </c>
      <c r="F67" s="5" t="s">
        <v>444</v>
      </c>
    </row>
    <row r="68" customFormat="false" ht="15" hidden="false" customHeight="false" outlineLevel="0" collapsed="false">
      <c r="A68" s="5" t="s">
        <v>64</v>
      </c>
      <c r="B68" s="5" t="s">
        <v>576</v>
      </c>
      <c r="C68" s="5" t="s">
        <v>63</v>
      </c>
      <c r="D68" s="5" t="s">
        <v>443</v>
      </c>
      <c r="E68" s="5" t="s">
        <v>58</v>
      </c>
      <c r="F68" s="5" t="s">
        <v>452</v>
      </c>
    </row>
    <row r="69" customFormat="false" ht="15" hidden="false" customHeight="false" outlineLevel="0" collapsed="false">
      <c r="A69" s="5" t="s">
        <v>577</v>
      </c>
      <c r="B69" s="5" t="s">
        <v>576</v>
      </c>
      <c r="C69" s="5" t="s">
        <v>578</v>
      </c>
      <c r="D69" s="5" t="s">
        <v>486</v>
      </c>
      <c r="E69" s="5" t="s">
        <v>58</v>
      </c>
      <c r="F69" s="5" t="s">
        <v>579</v>
      </c>
    </row>
    <row r="70" customFormat="false" ht="15" hidden="false" customHeight="false" outlineLevel="0" collapsed="false">
      <c r="A70" s="5" t="s">
        <v>580</v>
      </c>
      <c r="B70" s="5" t="s">
        <v>576</v>
      </c>
      <c r="C70" s="5" t="s">
        <v>581</v>
      </c>
      <c r="D70" s="5" t="s">
        <v>486</v>
      </c>
      <c r="E70" s="5" t="s">
        <v>58</v>
      </c>
      <c r="F70" s="5" t="s">
        <v>579</v>
      </c>
    </row>
    <row r="71" customFormat="false" ht="15" hidden="false" customHeight="false" outlineLevel="0" collapsed="false">
      <c r="A71" s="5" t="s">
        <v>142</v>
      </c>
      <c r="B71" s="5" t="s">
        <v>582</v>
      </c>
      <c r="C71" s="5" t="s">
        <v>141</v>
      </c>
      <c r="D71" s="5" t="s">
        <v>443</v>
      </c>
      <c r="E71" s="5" t="s">
        <v>58</v>
      </c>
      <c r="F71" s="5" t="s">
        <v>452</v>
      </c>
    </row>
    <row r="72" customFormat="false" ht="15" hidden="false" customHeight="false" outlineLevel="0" collapsed="false">
      <c r="A72" s="5" t="s">
        <v>583</v>
      </c>
      <c r="B72" s="5" t="s">
        <v>582</v>
      </c>
      <c r="C72" s="5" t="s">
        <v>584</v>
      </c>
      <c r="D72" s="5" t="s">
        <v>443</v>
      </c>
      <c r="E72" s="5" t="s">
        <v>71</v>
      </c>
      <c r="F72" s="5" t="s">
        <v>444</v>
      </c>
    </row>
    <row r="73" customFormat="false" ht="15" hidden="false" customHeight="false" outlineLevel="0" collapsed="false">
      <c r="A73" s="5" t="s">
        <v>585</v>
      </c>
      <c r="B73" s="5" t="s">
        <v>586</v>
      </c>
      <c r="C73" s="5" t="s">
        <v>575</v>
      </c>
      <c r="D73" s="5" t="s">
        <v>443</v>
      </c>
      <c r="E73" s="5" t="s">
        <v>71</v>
      </c>
      <c r="F73" s="5" t="s">
        <v>444</v>
      </c>
    </row>
    <row r="74" customFormat="false" ht="15" hidden="false" customHeight="false" outlineLevel="0" collapsed="false">
      <c r="A74" s="5" t="s">
        <v>173</v>
      </c>
      <c r="B74" s="5" t="s">
        <v>587</v>
      </c>
      <c r="C74" s="5" t="s">
        <v>172</v>
      </c>
      <c r="D74" s="5" t="s">
        <v>443</v>
      </c>
      <c r="E74" s="5" t="s">
        <v>71</v>
      </c>
      <c r="F74" s="5" t="s">
        <v>452</v>
      </c>
    </row>
    <row r="75" customFormat="false" ht="15" hidden="false" customHeight="false" outlineLevel="0" collapsed="false">
      <c r="A75" s="5" t="s">
        <v>189</v>
      </c>
      <c r="B75" s="5" t="s">
        <v>588</v>
      </c>
      <c r="C75" s="5" t="s">
        <v>188</v>
      </c>
      <c r="D75" s="5" t="s">
        <v>443</v>
      </c>
      <c r="E75" s="5" t="s">
        <v>71</v>
      </c>
      <c r="F75" s="5" t="s">
        <v>452</v>
      </c>
    </row>
    <row r="76" customFormat="false" ht="15" hidden="false" customHeight="false" outlineLevel="0" collapsed="false">
      <c r="A76" s="5" t="s">
        <v>589</v>
      </c>
      <c r="B76" s="5" t="s">
        <v>590</v>
      </c>
      <c r="C76" s="5" t="s">
        <v>591</v>
      </c>
      <c r="D76" s="5" t="s">
        <v>443</v>
      </c>
      <c r="E76" s="5" t="s">
        <v>71</v>
      </c>
      <c r="F76" s="5" t="s">
        <v>444</v>
      </c>
    </row>
    <row r="77" customFormat="false" ht="15" hidden="false" customHeight="false" outlineLevel="0" collapsed="false">
      <c r="A77" s="5" t="s">
        <v>312</v>
      </c>
      <c r="B77" s="5" t="s">
        <v>592</v>
      </c>
      <c r="C77" s="5" t="s">
        <v>311</v>
      </c>
      <c r="D77" s="5" t="s">
        <v>443</v>
      </c>
      <c r="E77" s="5" t="s">
        <v>71</v>
      </c>
      <c r="F77" s="5" t="s">
        <v>452</v>
      </c>
    </row>
    <row r="78" customFormat="false" ht="15" hidden="false" customHeight="false" outlineLevel="0" collapsed="false">
      <c r="A78" s="5" t="s">
        <v>593</v>
      </c>
      <c r="B78" s="5" t="s">
        <v>594</v>
      </c>
      <c r="C78" s="5" t="s">
        <v>595</v>
      </c>
      <c r="D78" s="5" t="s">
        <v>443</v>
      </c>
      <c r="E78" s="5" t="s">
        <v>71</v>
      </c>
      <c r="F78" s="5" t="s">
        <v>444</v>
      </c>
    </row>
    <row r="79" customFormat="false" ht="15" hidden="false" customHeight="false" outlineLevel="0" collapsed="false">
      <c r="A79" s="5" t="s">
        <v>245</v>
      </c>
      <c r="B79" s="5" t="s">
        <v>596</v>
      </c>
      <c r="C79" s="5" t="s">
        <v>244</v>
      </c>
      <c r="D79" s="5" t="s">
        <v>443</v>
      </c>
      <c r="E79" s="5" t="s">
        <v>58</v>
      </c>
      <c r="F79" s="5" t="s">
        <v>452</v>
      </c>
    </row>
    <row r="80" customFormat="false" ht="15" hidden="false" customHeight="false" outlineLevel="0" collapsed="false">
      <c r="A80" s="5" t="s">
        <v>254</v>
      </c>
      <c r="B80" s="5" t="s">
        <v>597</v>
      </c>
      <c r="C80" s="5" t="s">
        <v>253</v>
      </c>
      <c r="D80" s="5" t="s">
        <v>443</v>
      </c>
      <c r="E80" s="5" t="s">
        <v>71</v>
      </c>
      <c r="F80" s="5" t="s">
        <v>452</v>
      </c>
    </row>
    <row r="81" customFormat="false" ht="15" hidden="false" customHeight="false" outlineLevel="0" collapsed="false">
      <c r="A81" s="5" t="s">
        <v>598</v>
      </c>
      <c r="B81" s="5" t="s">
        <v>599</v>
      </c>
      <c r="C81" s="5" t="s">
        <v>600</v>
      </c>
      <c r="D81" s="5" t="s">
        <v>443</v>
      </c>
      <c r="E81" s="5" t="s">
        <v>71</v>
      </c>
      <c r="F81" s="5" t="s">
        <v>444</v>
      </c>
    </row>
    <row r="82" customFormat="false" ht="15" hidden="false" customHeight="false" outlineLevel="0" collapsed="false">
      <c r="A82" s="5" t="s">
        <v>88</v>
      </c>
      <c r="B82" s="5" t="s">
        <v>601</v>
      </c>
      <c r="C82" s="5" t="s">
        <v>87</v>
      </c>
      <c r="D82" s="5" t="s">
        <v>443</v>
      </c>
      <c r="E82" s="5" t="s">
        <v>58</v>
      </c>
      <c r="F82" s="5" t="s">
        <v>452</v>
      </c>
    </row>
    <row r="83" customFormat="false" ht="15" hidden="false" customHeight="false" outlineLevel="0" collapsed="false">
      <c r="A83" s="5" t="s">
        <v>602</v>
      </c>
      <c r="B83" s="5" t="s">
        <v>603</v>
      </c>
      <c r="C83" s="5" t="s">
        <v>604</v>
      </c>
      <c r="D83" s="5" t="s">
        <v>443</v>
      </c>
      <c r="E83" s="5" t="s">
        <v>71</v>
      </c>
      <c r="F83" s="5" t="s">
        <v>444</v>
      </c>
    </row>
    <row r="84" customFormat="false" ht="15" hidden="false" customHeight="false" outlineLevel="0" collapsed="false">
      <c r="A84" s="5" t="s">
        <v>605</v>
      </c>
      <c r="B84" s="5" t="s">
        <v>603</v>
      </c>
      <c r="C84" s="5" t="s">
        <v>141</v>
      </c>
      <c r="D84" s="5" t="s">
        <v>443</v>
      </c>
      <c r="E84" s="5" t="s">
        <v>71</v>
      </c>
      <c r="F84" s="5" t="s">
        <v>444</v>
      </c>
    </row>
    <row r="85" customFormat="false" ht="15" hidden="false" customHeight="false" outlineLevel="0" collapsed="false">
      <c r="A85" s="5" t="s">
        <v>606</v>
      </c>
      <c r="B85" s="5" t="s">
        <v>603</v>
      </c>
      <c r="C85" s="5" t="s">
        <v>529</v>
      </c>
      <c r="D85" s="5" t="s">
        <v>443</v>
      </c>
      <c r="E85" s="5" t="s">
        <v>71</v>
      </c>
      <c r="F85" s="5" t="s">
        <v>444</v>
      </c>
    </row>
    <row r="86" customFormat="false" ht="15" hidden="false" customHeight="false" outlineLevel="0" collapsed="false">
      <c r="A86" s="5" t="s">
        <v>607</v>
      </c>
      <c r="B86" s="5" t="s">
        <v>603</v>
      </c>
      <c r="C86" s="5" t="s">
        <v>608</v>
      </c>
      <c r="D86" s="5" t="s">
        <v>443</v>
      </c>
      <c r="E86" s="5" t="s">
        <v>71</v>
      </c>
      <c r="F86" s="5" t="s">
        <v>444</v>
      </c>
    </row>
    <row r="87" customFormat="false" ht="15" hidden="false" customHeight="false" outlineLevel="0" collapsed="false">
      <c r="A87" s="5" t="s">
        <v>609</v>
      </c>
      <c r="B87" s="5" t="s">
        <v>603</v>
      </c>
      <c r="C87" s="5" t="s">
        <v>610</v>
      </c>
      <c r="D87" s="5" t="s">
        <v>443</v>
      </c>
      <c r="E87" s="5" t="s">
        <v>71</v>
      </c>
      <c r="F87" s="5" t="s">
        <v>444</v>
      </c>
    </row>
    <row r="88" customFormat="false" ht="15" hidden="false" customHeight="false" outlineLevel="0" collapsed="false">
      <c r="A88" s="5" t="s">
        <v>611</v>
      </c>
      <c r="B88" s="5" t="s">
        <v>603</v>
      </c>
      <c r="C88" s="5" t="s">
        <v>612</v>
      </c>
      <c r="D88" s="5" t="s">
        <v>443</v>
      </c>
      <c r="E88" s="5" t="s">
        <v>71</v>
      </c>
      <c r="F88" s="5" t="s">
        <v>444</v>
      </c>
    </row>
    <row r="89" customFormat="false" ht="15" hidden="false" customHeight="false" outlineLevel="0" collapsed="false">
      <c r="A89" s="5" t="s">
        <v>613</v>
      </c>
      <c r="B89" s="5" t="s">
        <v>603</v>
      </c>
      <c r="C89" s="5" t="s">
        <v>455</v>
      </c>
      <c r="D89" s="5" t="s">
        <v>443</v>
      </c>
      <c r="E89" s="5" t="s">
        <v>71</v>
      </c>
      <c r="F89" s="5" t="s">
        <v>444</v>
      </c>
    </row>
    <row r="90" customFormat="false" ht="15" hidden="false" customHeight="false" outlineLevel="0" collapsed="false">
      <c r="A90" s="5" t="s">
        <v>614</v>
      </c>
      <c r="B90" s="5" t="s">
        <v>603</v>
      </c>
      <c r="C90" s="5" t="s">
        <v>615</v>
      </c>
      <c r="D90" s="5" t="s">
        <v>443</v>
      </c>
      <c r="E90" s="5" t="s">
        <v>71</v>
      </c>
      <c r="F90" s="5" t="s">
        <v>444</v>
      </c>
    </row>
    <row r="91" customFormat="false" ht="15" hidden="false" customHeight="false" outlineLevel="0" collapsed="false">
      <c r="A91" s="5" t="s">
        <v>616</v>
      </c>
      <c r="B91" s="5" t="s">
        <v>617</v>
      </c>
      <c r="C91" s="5" t="s">
        <v>584</v>
      </c>
      <c r="D91" s="5" t="s">
        <v>443</v>
      </c>
      <c r="E91" s="5" t="s">
        <v>71</v>
      </c>
      <c r="F91" s="5" t="s">
        <v>444</v>
      </c>
    </row>
    <row r="92" customFormat="false" ht="15" hidden="false" customHeight="false" outlineLevel="0" collapsed="false">
      <c r="A92" s="5" t="s">
        <v>618</v>
      </c>
      <c r="B92" s="5" t="s">
        <v>619</v>
      </c>
      <c r="C92" s="5" t="s">
        <v>620</v>
      </c>
      <c r="D92" s="5" t="s">
        <v>443</v>
      </c>
      <c r="E92" s="5" t="s">
        <v>71</v>
      </c>
      <c r="F92" s="5" t="s">
        <v>444</v>
      </c>
    </row>
    <row r="93" customFormat="false" ht="15" hidden="false" customHeight="false" outlineLevel="0" collapsed="false">
      <c r="A93" s="5" t="s">
        <v>348</v>
      </c>
      <c r="B93" s="5" t="s">
        <v>621</v>
      </c>
      <c r="C93" s="5" t="s">
        <v>347</v>
      </c>
      <c r="D93" s="5" t="s">
        <v>443</v>
      </c>
      <c r="E93" s="5" t="s">
        <v>71</v>
      </c>
      <c r="F93" s="5" t="s">
        <v>452</v>
      </c>
    </row>
    <row r="94" customFormat="false" ht="15" hidden="false" customHeight="false" outlineLevel="0" collapsed="false">
      <c r="A94" s="5" t="s">
        <v>353</v>
      </c>
      <c r="B94" s="5" t="s">
        <v>622</v>
      </c>
      <c r="C94" s="5" t="s">
        <v>352</v>
      </c>
      <c r="D94" s="5" t="s">
        <v>443</v>
      </c>
      <c r="E94" s="5" t="s">
        <v>71</v>
      </c>
      <c r="F94" s="5" t="s">
        <v>452</v>
      </c>
    </row>
    <row r="95" customFormat="false" ht="15" hidden="false" customHeight="false" outlineLevel="0" collapsed="false">
      <c r="A95" s="5" t="s">
        <v>623</v>
      </c>
      <c r="B95" s="5" t="s">
        <v>622</v>
      </c>
      <c r="C95" s="5" t="s">
        <v>624</v>
      </c>
      <c r="D95" s="5" t="s">
        <v>443</v>
      </c>
      <c r="E95" s="5" t="s">
        <v>71</v>
      </c>
      <c r="F95" s="5" t="s">
        <v>625</v>
      </c>
    </row>
    <row r="96" customFormat="false" ht="15" hidden="false" customHeight="false" outlineLevel="0" collapsed="false">
      <c r="A96" s="5" t="s">
        <v>390</v>
      </c>
      <c r="B96" s="5" t="s">
        <v>626</v>
      </c>
      <c r="C96" s="5" t="s">
        <v>389</v>
      </c>
      <c r="D96" s="5" t="s">
        <v>443</v>
      </c>
      <c r="E96" s="5" t="s">
        <v>58</v>
      </c>
      <c r="F96" s="5" t="s">
        <v>452</v>
      </c>
    </row>
    <row r="97" customFormat="false" ht="15" hidden="false" customHeight="false" outlineLevel="0" collapsed="false">
      <c r="A97" s="5" t="s">
        <v>627</v>
      </c>
      <c r="B97" s="5" t="s">
        <v>628</v>
      </c>
      <c r="C97" s="5" t="s">
        <v>629</v>
      </c>
      <c r="D97" s="5" t="s">
        <v>443</v>
      </c>
      <c r="E97" s="5" t="s">
        <v>71</v>
      </c>
      <c r="F97" s="5" t="s">
        <v>444</v>
      </c>
    </row>
    <row r="98" customFormat="false" ht="15" hidden="false" customHeight="false" outlineLevel="0" collapsed="false">
      <c r="A98" s="5" t="s">
        <v>630</v>
      </c>
      <c r="B98" s="5" t="s">
        <v>631</v>
      </c>
      <c r="C98" s="5" t="s">
        <v>632</v>
      </c>
      <c r="D98" s="5" t="s">
        <v>443</v>
      </c>
      <c r="E98" s="5" t="s">
        <v>71</v>
      </c>
      <c r="F98" s="5" t="s">
        <v>444</v>
      </c>
    </row>
    <row r="99" customFormat="false" ht="15" hidden="false" customHeight="false" outlineLevel="0" collapsed="false">
      <c r="A99" s="5" t="s">
        <v>162</v>
      </c>
      <c r="B99" s="5" t="s">
        <v>633</v>
      </c>
      <c r="C99" s="5" t="s">
        <v>161</v>
      </c>
      <c r="D99" s="5" t="s">
        <v>443</v>
      </c>
      <c r="E99" s="5" t="s">
        <v>58</v>
      </c>
      <c r="F99" s="5" t="s">
        <v>452</v>
      </c>
    </row>
    <row r="100" customFormat="false" ht="15" hidden="false" customHeight="false" outlineLevel="0" collapsed="false">
      <c r="A100" s="5" t="s">
        <v>634</v>
      </c>
      <c r="B100" s="5" t="s">
        <v>633</v>
      </c>
      <c r="C100" s="5" t="s">
        <v>172</v>
      </c>
      <c r="D100" s="5" t="s">
        <v>486</v>
      </c>
      <c r="E100" s="5" t="s">
        <v>58</v>
      </c>
      <c r="F100" s="5" t="s">
        <v>635</v>
      </c>
    </row>
    <row r="101" customFormat="false" ht="15" hidden="false" customHeight="false" outlineLevel="0" collapsed="false">
      <c r="A101" s="5" t="s">
        <v>636</v>
      </c>
      <c r="B101" s="5" t="s">
        <v>633</v>
      </c>
      <c r="C101" s="5" t="s">
        <v>485</v>
      </c>
      <c r="D101" s="5" t="s">
        <v>486</v>
      </c>
      <c r="E101" s="5" t="s">
        <v>58</v>
      </c>
      <c r="F101" s="5" t="s">
        <v>635</v>
      </c>
    </row>
    <row r="102" customFormat="false" ht="15" hidden="false" customHeight="false" outlineLevel="0" collapsed="false">
      <c r="A102" s="5" t="s">
        <v>637</v>
      </c>
      <c r="B102" s="5" t="s">
        <v>638</v>
      </c>
      <c r="C102" s="5" t="s">
        <v>639</v>
      </c>
      <c r="D102" s="5" t="s">
        <v>443</v>
      </c>
      <c r="E102" s="5" t="s">
        <v>71</v>
      </c>
      <c r="F102" s="5" t="s">
        <v>444</v>
      </c>
    </row>
    <row r="103" customFormat="false" ht="15" hidden="false" customHeight="false" outlineLevel="0" collapsed="false">
      <c r="A103" s="5" t="s">
        <v>168</v>
      </c>
      <c r="B103" s="5" t="s">
        <v>640</v>
      </c>
      <c r="C103" s="5" t="s">
        <v>167</v>
      </c>
      <c r="D103" s="5" t="s">
        <v>486</v>
      </c>
      <c r="E103" s="5" t="s">
        <v>71</v>
      </c>
      <c r="F103" s="5" t="s">
        <v>452</v>
      </c>
    </row>
    <row r="104" customFormat="false" ht="15" hidden="false" customHeight="false" outlineLevel="0" collapsed="false">
      <c r="A104" s="5" t="s">
        <v>280</v>
      </c>
      <c r="B104" s="5" t="s">
        <v>641</v>
      </c>
      <c r="C104" s="5" t="s">
        <v>279</v>
      </c>
      <c r="D104" s="5" t="s">
        <v>443</v>
      </c>
      <c r="E104" s="5" t="s">
        <v>58</v>
      </c>
      <c r="F104" s="5" t="s">
        <v>452</v>
      </c>
    </row>
    <row r="105" customFormat="false" ht="15" hidden="false" customHeight="false" outlineLevel="0" collapsed="false">
      <c r="A105" s="5" t="s">
        <v>285</v>
      </c>
      <c r="B105" s="5" t="s">
        <v>642</v>
      </c>
      <c r="C105" s="5" t="s">
        <v>284</v>
      </c>
      <c r="D105" s="5" t="s">
        <v>443</v>
      </c>
      <c r="E105" s="5" t="s">
        <v>58</v>
      </c>
      <c r="F105" s="5" t="s">
        <v>452</v>
      </c>
    </row>
    <row r="106" customFormat="false" ht="15" hidden="false" customHeight="false" outlineLevel="0" collapsed="false">
      <c r="A106" s="5" t="s">
        <v>643</v>
      </c>
      <c r="B106" s="5" t="s">
        <v>642</v>
      </c>
      <c r="C106" s="5" t="s">
        <v>295</v>
      </c>
      <c r="D106" s="5" t="s">
        <v>486</v>
      </c>
      <c r="E106" s="5" t="s">
        <v>58</v>
      </c>
      <c r="F106" s="5" t="s">
        <v>644</v>
      </c>
    </row>
    <row r="107" customFormat="false" ht="15" hidden="false" customHeight="false" outlineLevel="0" collapsed="false">
      <c r="A107" s="5" t="s">
        <v>193</v>
      </c>
      <c r="B107" s="5" t="s">
        <v>645</v>
      </c>
      <c r="C107" s="5" t="s">
        <v>188</v>
      </c>
      <c r="D107" s="5" t="s">
        <v>443</v>
      </c>
      <c r="E107" s="5" t="s">
        <v>71</v>
      </c>
      <c r="F107" s="5" t="s">
        <v>452</v>
      </c>
    </row>
    <row r="108" customFormat="false" ht="15" hidden="false" customHeight="false" outlineLevel="0" collapsed="false">
      <c r="A108" s="5" t="s">
        <v>646</v>
      </c>
      <c r="B108" s="5" t="s">
        <v>647</v>
      </c>
      <c r="C108" s="5" t="s">
        <v>648</v>
      </c>
      <c r="D108" s="5" t="s">
        <v>443</v>
      </c>
      <c r="E108" s="5" t="s">
        <v>71</v>
      </c>
      <c r="F108" s="5" t="s">
        <v>444</v>
      </c>
    </row>
    <row r="109" customFormat="false" ht="15" hidden="false" customHeight="false" outlineLevel="0" collapsed="false">
      <c r="A109" s="5" t="s">
        <v>649</v>
      </c>
      <c r="B109" s="5" t="s">
        <v>650</v>
      </c>
      <c r="C109" s="5" t="s">
        <v>258</v>
      </c>
      <c r="D109" s="5" t="s">
        <v>443</v>
      </c>
      <c r="E109" s="5" t="s">
        <v>71</v>
      </c>
      <c r="F109" s="5" t="s">
        <v>444</v>
      </c>
    </row>
    <row r="110" customFormat="false" ht="15" hidden="false" customHeight="false" outlineLevel="0" collapsed="false">
      <c r="A110" s="5" t="s">
        <v>651</v>
      </c>
      <c r="B110" s="5" t="s">
        <v>652</v>
      </c>
      <c r="C110" s="5" t="s">
        <v>653</v>
      </c>
      <c r="D110" s="5" t="s">
        <v>443</v>
      </c>
      <c r="E110" s="5" t="s">
        <v>71</v>
      </c>
      <c r="F110" s="5" t="s">
        <v>444</v>
      </c>
    </row>
    <row r="111" customFormat="false" ht="15" hidden="false" customHeight="false" outlineLevel="0" collapsed="false">
      <c r="A111" s="5" t="s">
        <v>122</v>
      </c>
      <c r="B111" s="5" t="s">
        <v>654</v>
      </c>
      <c r="C111" s="5" t="s">
        <v>121</v>
      </c>
      <c r="D111" s="5" t="s">
        <v>443</v>
      </c>
      <c r="E111" s="5" t="s">
        <v>58</v>
      </c>
      <c r="F111" s="5" t="s">
        <v>452</v>
      </c>
    </row>
    <row r="112" customFormat="false" ht="15" hidden="false" customHeight="false" outlineLevel="0" collapsed="false">
      <c r="A112" s="5" t="s">
        <v>655</v>
      </c>
      <c r="B112" s="5" t="s">
        <v>654</v>
      </c>
      <c r="C112" s="5" t="s">
        <v>656</v>
      </c>
      <c r="D112" s="5" t="s">
        <v>486</v>
      </c>
      <c r="E112" s="5" t="s">
        <v>58</v>
      </c>
      <c r="F112" s="5" t="s">
        <v>657</v>
      </c>
    </row>
    <row r="113" customFormat="false" ht="15" hidden="false" customHeight="false" outlineLevel="0" collapsed="false">
      <c r="A113" s="5" t="s">
        <v>658</v>
      </c>
      <c r="B113" s="5" t="s">
        <v>659</v>
      </c>
      <c r="C113" s="5" t="s">
        <v>660</v>
      </c>
      <c r="D113" s="5" t="s">
        <v>443</v>
      </c>
      <c r="E113" s="5" t="s">
        <v>71</v>
      </c>
      <c r="F113" s="5" t="s">
        <v>444</v>
      </c>
    </row>
    <row r="114" customFormat="false" ht="15" hidden="false" customHeight="false" outlineLevel="0" collapsed="false">
      <c r="A114" s="5" t="s">
        <v>661</v>
      </c>
      <c r="B114" s="5" t="s">
        <v>659</v>
      </c>
      <c r="C114" s="5" t="s">
        <v>662</v>
      </c>
      <c r="D114" s="5" t="s">
        <v>443</v>
      </c>
      <c r="E114" s="5" t="s">
        <v>71</v>
      </c>
      <c r="F114" s="5" t="s">
        <v>444</v>
      </c>
    </row>
    <row r="115" customFormat="false" ht="15" hidden="false" customHeight="false" outlineLevel="0" collapsed="false">
      <c r="A115" s="5" t="s">
        <v>224</v>
      </c>
      <c r="B115" s="5" t="s">
        <v>663</v>
      </c>
      <c r="C115" s="5" t="s">
        <v>223</v>
      </c>
      <c r="D115" s="5" t="s">
        <v>443</v>
      </c>
      <c r="E115" s="5" t="s">
        <v>58</v>
      </c>
      <c r="F115" s="5" t="s">
        <v>452</v>
      </c>
    </row>
    <row r="116" customFormat="false" ht="15" hidden="false" customHeight="false" outlineLevel="0" collapsed="false">
      <c r="A116" s="5" t="s">
        <v>664</v>
      </c>
      <c r="B116" s="5" t="s">
        <v>665</v>
      </c>
      <c r="C116" s="5" t="s">
        <v>666</v>
      </c>
      <c r="D116" s="5" t="s">
        <v>443</v>
      </c>
      <c r="E116" s="5" t="s">
        <v>71</v>
      </c>
      <c r="F116" s="5" t="s">
        <v>444</v>
      </c>
    </row>
    <row r="117" customFormat="false" ht="15" hidden="false" customHeight="false" outlineLevel="0" collapsed="false">
      <c r="A117" s="5" t="s">
        <v>240</v>
      </c>
      <c r="B117" s="5" t="s">
        <v>667</v>
      </c>
      <c r="C117" s="5" t="s">
        <v>239</v>
      </c>
      <c r="D117" s="5" t="s">
        <v>443</v>
      </c>
      <c r="E117" s="5" t="s">
        <v>71</v>
      </c>
      <c r="F117" s="5" t="s">
        <v>452</v>
      </c>
    </row>
    <row r="118" customFormat="false" ht="15" hidden="false" customHeight="false" outlineLevel="0" collapsed="false">
      <c r="A118" s="5" t="s">
        <v>668</v>
      </c>
      <c r="B118" s="5" t="s">
        <v>667</v>
      </c>
      <c r="C118" s="5" t="s">
        <v>669</v>
      </c>
      <c r="D118" s="5" t="s">
        <v>443</v>
      </c>
      <c r="E118" s="5" t="s">
        <v>71</v>
      </c>
      <c r="F118" s="5" t="s">
        <v>670</v>
      </c>
    </row>
    <row r="119" customFormat="false" ht="15" hidden="false" customHeight="false" outlineLevel="0" collapsed="false">
      <c r="A119" s="5" t="s">
        <v>83</v>
      </c>
      <c r="B119" s="5" t="s">
        <v>671</v>
      </c>
      <c r="C119" s="5" t="s">
        <v>82</v>
      </c>
      <c r="D119" s="5" t="s">
        <v>443</v>
      </c>
      <c r="E119" s="5" t="s">
        <v>58</v>
      </c>
      <c r="F119" s="5" t="s">
        <v>452</v>
      </c>
    </row>
    <row r="120" customFormat="false" ht="15" hidden="false" customHeight="false" outlineLevel="0" collapsed="false">
      <c r="A120" s="5" t="s">
        <v>672</v>
      </c>
      <c r="B120" s="5" t="s">
        <v>671</v>
      </c>
      <c r="C120" s="5" t="s">
        <v>673</v>
      </c>
      <c r="D120" s="5" t="s">
        <v>486</v>
      </c>
      <c r="E120" s="5" t="s">
        <v>58</v>
      </c>
      <c r="F120" s="5" t="s">
        <v>674</v>
      </c>
    </row>
    <row r="121" customFormat="false" ht="15" hidden="false" customHeight="false" outlineLevel="0" collapsed="false">
      <c r="A121" s="5" t="s">
        <v>675</v>
      </c>
      <c r="B121" s="5" t="s">
        <v>676</v>
      </c>
      <c r="C121" s="5" t="s">
        <v>677</v>
      </c>
      <c r="D121" s="5" t="s">
        <v>443</v>
      </c>
      <c r="E121" s="5" t="s">
        <v>71</v>
      </c>
      <c r="F121" s="5" t="s">
        <v>444</v>
      </c>
    </row>
    <row r="122" customFormat="false" ht="15" hidden="false" customHeight="false" outlineLevel="0" collapsed="false">
      <c r="A122" s="5" t="s">
        <v>678</v>
      </c>
      <c r="B122" s="5" t="s">
        <v>679</v>
      </c>
      <c r="C122" s="5" t="s">
        <v>347</v>
      </c>
      <c r="D122" s="5" t="s">
        <v>443</v>
      </c>
      <c r="E122" s="5" t="s">
        <v>71</v>
      </c>
      <c r="F122" s="5" t="s">
        <v>444</v>
      </c>
    </row>
    <row r="123" customFormat="false" ht="15" hidden="false" customHeight="false" outlineLevel="0" collapsed="false">
      <c r="A123" s="5" t="s">
        <v>680</v>
      </c>
      <c r="B123" s="5" t="s">
        <v>681</v>
      </c>
      <c r="C123" s="5" t="s">
        <v>682</v>
      </c>
      <c r="D123" s="5" t="s">
        <v>443</v>
      </c>
      <c r="E123" s="5" t="s">
        <v>71</v>
      </c>
      <c r="F123" s="5" t="s">
        <v>444</v>
      </c>
    </row>
    <row r="124" customFormat="false" ht="15" hidden="false" customHeight="false" outlineLevel="0" collapsed="false">
      <c r="A124" s="5" t="s">
        <v>683</v>
      </c>
      <c r="B124" s="5" t="s">
        <v>684</v>
      </c>
      <c r="C124" s="5" t="s">
        <v>685</v>
      </c>
      <c r="D124" s="5" t="s">
        <v>443</v>
      </c>
      <c r="E124" s="5" t="s">
        <v>71</v>
      </c>
      <c r="F124" s="5" t="s">
        <v>444</v>
      </c>
    </row>
    <row r="125" customFormat="false" ht="15" hidden="false" customHeight="false" outlineLevel="0" collapsed="false">
      <c r="A125" s="5" t="s">
        <v>686</v>
      </c>
      <c r="B125" s="5" t="s">
        <v>687</v>
      </c>
      <c r="C125" s="5" t="s">
        <v>368</v>
      </c>
      <c r="D125" s="5" t="s">
        <v>443</v>
      </c>
      <c r="E125" s="5" t="s">
        <v>71</v>
      </c>
      <c r="F125" s="5" t="s">
        <v>444</v>
      </c>
    </row>
    <row r="126" customFormat="false" ht="15" hidden="false" customHeight="false" outlineLevel="0" collapsed="false">
      <c r="A126" s="5" t="s">
        <v>296</v>
      </c>
      <c r="B126" s="5" t="s">
        <v>688</v>
      </c>
      <c r="C126" s="5" t="s">
        <v>295</v>
      </c>
      <c r="D126" s="5" t="s">
        <v>443</v>
      </c>
      <c r="E126" s="5" t="s">
        <v>58</v>
      </c>
      <c r="F126" s="5" t="s">
        <v>452</v>
      </c>
    </row>
    <row r="127" customFormat="false" ht="15" hidden="false" customHeight="false" outlineLevel="0" collapsed="false">
      <c r="A127" s="5" t="s">
        <v>259</v>
      </c>
      <c r="B127" s="5" t="s">
        <v>689</v>
      </c>
      <c r="C127" s="5" t="s">
        <v>258</v>
      </c>
      <c r="D127" s="5" t="s">
        <v>443</v>
      </c>
      <c r="E127" s="5" t="s">
        <v>71</v>
      </c>
      <c r="F127" s="5" t="s">
        <v>452</v>
      </c>
    </row>
    <row r="128" customFormat="false" ht="15" hidden="false" customHeight="false" outlineLevel="0" collapsed="false">
      <c r="A128" s="5" t="s">
        <v>290</v>
      </c>
      <c r="B128" s="5" t="s">
        <v>690</v>
      </c>
      <c r="C128" s="5" t="s">
        <v>289</v>
      </c>
      <c r="D128" s="5" t="s">
        <v>443</v>
      </c>
      <c r="E128" s="5" t="s">
        <v>71</v>
      </c>
      <c r="F128" s="5" t="s">
        <v>452</v>
      </c>
    </row>
    <row r="129" customFormat="false" ht="15" hidden="false" customHeight="false" outlineLevel="0" collapsed="false">
      <c r="A129" s="5" t="s">
        <v>691</v>
      </c>
      <c r="B129" s="5" t="s">
        <v>692</v>
      </c>
      <c r="C129" s="5" t="s">
        <v>693</v>
      </c>
      <c r="D129" s="5" t="s">
        <v>443</v>
      </c>
      <c r="E129" s="5" t="s">
        <v>71</v>
      </c>
      <c r="F129" s="5" t="s">
        <v>444</v>
      </c>
    </row>
    <row r="130" customFormat="false" ht="15" hidden="false" customHeight="false" outlineLevel="0" collapsed="false">
      <c r="A130" s="5" t="s">
        <v>694</v>
      </c>
      <c r="B130" s="5" t="s">
        <v>692</v>
      </c>
      <c r="C130" s="5" t="s">
        <v>695</v>
      </c>
      <c r="D130" s="5" t="s">
        <v>443</v>
      </c>
      <c r="E130" s="5" t="s">
        <v>71</v>
      </c>
      <c r="F130" s="5" t="s">
        <v>444</v>
      </c>
    </row>
    <row r="131" customFormat="false" ht="15" hidden="false" customHeight="false" outlineLevel="0" collapsed="false">
      <c r="A131" s="5" t="s">
        <v>317</v>
      </c>
      <c r="B131" s="5" t="s">
        <v>696</v>
      </c>
      <c r="C131" s="5" t="s">
        <v>316</v>
      </c>
      <c r="D131" s="5" t="s">
        <v>443</v>
      </c>
      <c r="E131" s="5" t="s">
        <v>58</v>
      </c>
      <c r="F131" s="5" t="s">
        <v>452</v>
      </c>
    </row>
    <row r="132" customFormat="false" ht="15" hidden="false" customHeight="false" outlineLevel="0" collapsed="false">
      <c r="A132" s="5" t="s">
        <v>697</v>
      </c>
      <c r="B132" s="5" t="s">
        <v>696</v>
      </c>
      <c r="C132" s="5" t="s">
        <v>332</v>
      </c>
      <c r="D132" s="5" t="s">
        <v>486</v>
      </c>
      <c r="E132" s="5" t="s">
        <v>58</v>
      </c>
      <c r="F132" s="5" t="s">
        <v>698</v>
      </c>
    </row>
    <row r="133" customFormat="false" ht="15" hidden="false" customHeight="false" outlineLevel="0" collapsed="false">
      <c r="A133" s="5" t="s">
        <v>699</v>
      </c>
      <c r="B133" s="5" t="s">
        <v>700</v>
      </c>
      <c r="C133" s="5" t="s">
        <v>701</v>
      </c>
      <c r="D133" s="5" t="s">
        <v>443</v>
      </c>
      <c r="E133" s="5" t="s">
        <v>71</v>
      </c>
      <c r="F133" s="5" t="s">
        <v>444</v>
      </c>
    </row>
    <row r="134" customFormat="false" ht="15" hidden="false" customHeight="false" outlineLevel="0" collapsed="false">
      <c r="A134" s="5" t="s">
        <v>702</v>
      </c>
      <c r="B134" s="5" t="s">
        <v>700</v>
      </c>
      <c r="C134" s="5" t="s">
        <v>703</v>
      </c>
      <c r="D134" s="5" t="s">
        <v>443</v>
      </c>
      <c r="E134" s="5" t="s">
        <v>71</v>
      </c>
      <c r="F134" s="5" t="s">
        <v>444</v>
      </c>
    </row>
    <row r="135" customFormat="false" ht="15" hidden="false" customHeight="false" outlineLevel="0" collapsed="false">
      <c r="A135" s="5" t="s">
        <v>137</v>
      </c>
      <c r="B135" s="5" t="s">
        <v>704</v>
      </c>
      <c r="C135" s="5" t="s">
        <v>136</v>
      </c>
      <c r="D135" s="5" t="s">
        <v>443</v>
      </c>
      <c r="E135" s="5" t="s">
        <v>58</v>
      </c>
      <c r="F135" s="5" t="s">
        <v>452</v>
      </c>
    </row>
    <row r="136" customFormat="false" ht="15" hidden="false" customHeight="false" outlineLevel="0" collapsed="false">
      <c r="A136" s="5" t="s">
        <v>705</v>
      </c>
      <c r="B136" s="5" t="s">
        <v>706</v>
      </c>
      <c r="C136" s="5" t="s">
        <v>707</v>
      </c>
      <c r="D136" s="5" t="s">
        <v>443</v>
      </c>
      <c r="E136" s="5" t="s">
        <v>71</v>
      </c>
      <c r="F136" s="5" t="s">
        <v>444</v>
      </c>
    </row>
    <row r="137" customFormat="false" ht="15" hidden="false" customHeight="false" outlineLevel="0" collapsed="false">
      <c r="A137" s="5" t="s">
        <v>708</v>
      </c>
      <c r="B137" s="5" t="s">
        <v>706</v>
      </c>
      <c r="C137" s="5" t="s">
        <v>709</v>
      </c>
      <c r="D137" s="5" t="s">
        <v>443</v>
      </c>
      <c r="E137" s="5" t="s">
        <v>71</v>
      </c>
      <c r="F137" s="5" t="s">
        <v>444</v>
      </c>
    </row>
    <row r="138" customFormat="false" ht="15" hidden="false" customHeight="false" outlineLevel="0" collapsed="false">
      <c r="A138" s="5" t="s">
        <v>710</v>
      </c>
      <c r="B138" s="5" t="s">
        <v>706</v>
      </c>
      <c r="C138" s="5" t="s">
        <v>711</v>
      </c>
      <c r="D138" s="5" t="s">
        <v>443</v>
      </c>
      <c r="E138" s="5" t="s">
        <v>71</v>
      </c>
      <c r="F138" s="5" t="s">
        <v>444</v>
      </c>
    </row>
    <row r="139" customFormat="false" ht="15" hidden="false" customHeight="false" outlineLevel="0" collapsed="false">
      <c r="A139" s="5" t="s">
        <v>712</v>
      </c>
      <c r="B139" s="5" t="s">
        <v>706</v>
      </c>
      <c r="C139" s="5" t="s">
        <v>485</v>
      </c>
      <c r="D139" s="5" t="s">
        <v>443</v>
      </c>
      <c r="E139" s="5" t="s">
        <v>71</v>
      </c>
      <c r="F139" s="5" t="s">
        <v>444</v>
      </c>
    </row>
    <row r="140" customFormat="false" ht="15" hidden="false" customHeight="false" outlineLevel="0" collapsed="false">
      <c r="A140" s="5" t="s">
        <v>713</v>
      </c>
      <c r="B140" s="5" t="s">
        <v>706</v>
      </c>
      <c r="C140" s="5" t="s">
        <v>714</v>
      </c>
      <c r="D140" s="5" t="s">
        <v>443</v>
      </c>
      <c r="E140" s="5" t="s">
        <v>71</v>
      </c>
      <c r="F140" s="5" t="s">
        <v>444</v>
      </c>
    </row>
    <row r="141" customFormat="false" ht="15" hidden="false" customHeight="false" outlineLevel="0" collapsed="false">
      <c r="A141" s="5" t="s">
        <v>715</v>
      </c>
      <c r="B141" s="5" t="s">
        <v>706</v>
      </c>
      <c r="C141" s="5" t="s">
        <v>716</v>
      </c>
      <c r="D141" s="5" t="s">
        <v>443</v>
      </c>
      <c r="E141" s="5" t="s">
        <v>71</v>
      </c>
      <c r="F141" s="5" t="s">
        <v>444</v>
      </c>
    </row>
    <row r="142" customFormat="false" ht="15" hidden="false" customHeight="false" outlineLevel="0" collapsed="false">
      <c r="A142" s="5" t="s">
        <v>717</v>
      </c>
      <c r="B142" s="5" t="s">
        <v>706</v>
      </c>
      <c r="C142" s="5" t="s">
        <v>718</v>
      </c>
      <c r="D142" s="5" t="s">
        <v>443</v>
      </c>
      <c r="E142" s="5" t="s">
        <v>71</v>
      </c>
      <c r="F142" s="5" t="s">
        <v>444</v>
      </c>
    </row>
    <row r="143" customFormat="false" ht="15" hidden="false" customHeight="false" outlineLevel="0" collapsed="false">
      <c r="A143" s="5" t="s">
        <v>719</v>
      </c>
      <c r="B143" s="5" t="s">
        <v>706</v>
      </c>
      <c r="C143" s="5" t="s">
        <v>720</v>
      </c>
      <c r="D143" s="5" t="s">
        <v>443</v>
      </c>
      <c r="E143" s="5" t="s">
        <v>71</v>
      </c>
      <c r="F143" s="5" t="s">
        <v>444</v>
      </c>
    </row>
    <row r="144" customFormat="false" ht="15" hidden="false" customHeight="false" outlineLevel="0" collapsed="false">
      <c r="A144" s="5" t="s">
        <v>721</v>
      </c>
      <c r="B144" s="5" t="s">
        <v>706</v>
      </c>
      <c r="C144" s="5" t="s">
        <v>695</v>
      </c>
      <c r="D144" s="5" t="s">
        <v>443</v>
      </c>
      <c r="E144" s="5" t="s">
        <v>71</v>
      </c>
      <c r="F144" s="5" t="s">
        <v>444</v>
      </c>
    </row>
    <row r="145" customFormat="false" ht="15" hidden="false" customHeight="false" outlineLevel="0" collapsed="false">
      <c r="A145" s="5" t="s">
        <v>722</v>
      </c>
      <c r="B145" s="5" t="s">
        <v>723</v>
      </c>
      <c r="C145" s="5" t="s">
        <v>724</v>
      </c>
      <c r="D145" s="5" t="s">
        <v>443</v>
      </c>
      <c r="E145" s="5" t="s">
        <v>71</v>
      </c>
      <c r="F145" s="5" t="s">
        <v>725</v>
      </c>
    </row>
    <row r="146" customFormat="false" ht="15" hidden="false" customHeight="false" outlineLevel="0" collapsed="false">
      <c r="A146" s="5" t="s">
        <v>726</v>
      </c>
      <c r="B146" s="5" t="s">
        <v>727</v>
      </c>
      <c r="C146" s="5" t="s">
        <v>728</v>
      </c>
      <c r="D146" s="5" t="s">
        <v>443</v>
      </c>
      <c r="E146" s="5" t="s">
        <v>71</v>
      </c>
      <c r="F146" s="5" t="s">
        <v>444</v>
      </c>
    </row>
    <row r="147" customFormat="false" ht="15" hidden="false" customHeight="false" outlineLevel="0" collapsed="false">
      <c r="A147" s="5" t="s">
        <v>179</v>
      </c>
      <c r="B147" s="5" t="s">
        <v>729</v>
      </c>
      <c r="C147" s="5" t="s">
        <v>178</v>
      </c>
      <c r="D147" s="5" t="s">
        <v>443</v>
      </c>
      <c r="E147" s="5" t="s">
        <v>71</v>
      </c>
      <c r="F147" s="5" t="s">
        <v>452</v>
      </c>
    </row>
    <row r="148" customFormat="false" ht="15" hidden="false" customHeight="false" outlineLevel="0" collapsed="false">
      <c r="A148" s="5" t="s">
        <v>730</v>
      </c>
      <c r="B148" s="5" t="s">
        <v>731</v>
      </c>
      <c r="C148" s="5" t="s">
        <v>525</v>
      </c>
      <c r="D148" s="5" t="s">
        <v>443</v>
      </c>
      <c r="E148" s="5" t="s">
        <v>71</v>
      </c>
      <c r="F148" s="5" t="s">
        <v>444</v>
      </c>
    </row>
    <row r="149" customFormat="false" ht="15" hidden="false" customHeight="false" outlineLevel="0" collapsed="false">
      <c r="A149" s="5" t="s">
        <v>732</v>
      </c>
      <c r="B149" s="5" t="s">
        <v>733</v>
      </c>
      <c r="C149" s="5" t="s">
        <v>734</v>
      </c>
      <c r="D149" s="5" t="s">
        <v>443</v>
      </c>
      <c r="E149" s="5" t="s">
        <v>71</v>
      </c>
      <c r="F149" s="5" t="s">
        <v>444</v>
      </c>
    </row>
    <row r="150" customFormat="false" ht="15" hidden="false" customHeight="false" outlineLevel="0" collapsed="false">
      <c r="A150" s="5" t="s">
        <v>735</v>
      </c>
      <c r="B150" s="5" t="s">
        <v>736</v>
      </c>
      <c r="C150" s="5" t="s">
        <v>707</v>
      </c>
      <c r="D150" s="5" t="s">
        <v>443</v>
      </c>
      <c r="E150" s="5" t="s">
        <v>71</v>
      </c>
      <c r="F150" s="5" t="s">
        <v>444</v>
      </c>
    </row>
    <row r="151" customFormat="false" ht="15" hidden="false" customHeight="false" outlineLevel="0" collapsed="false">
      <c r="A151" s="5" t="s">
        <v>102</v>
      </c>
      <c r="B151" s="5" t="s">
        <v>737</v>
      </c>
      <c r="C151" s="5" t="s">
        <v>101</v>
      </c>
      <c r="D151" s="5" t="s">
        <v>443</v>
      </c>
      <c r="E151" s="5" t="s">
        <v>58</v>
      </c>
      <c r="F151" s="5" t="s">
        <v>452</v>
      </c>
    </row>
    <row r="152" customFormat="false" ht="15" hidden="false" customHeight="false" outlineLevel="0" collapsed="false">
      <c r="A152" s="5" t="s">
        <v>738</v>
      </c>
      <c r="B152" s="5" t="s">
        <v>737</v>
      </c>
      <c r="C152" s="5" t="s">
        <v>707</v>
      </c>
      <c r="D152" s="5" t="s">
        <v>486</v>
      </c>
      <c r="E152" s="5" t="s">
        <v>58</v>
      </c>
      <c r="F152" s="5" t="s">
        <v>739</v>
      </c>
    </row>
    <row r="153" customFormat="false" ht="15" hidden="false" customHeight="false" outlineLevel="0" collapsed="false">
      <c r="A153" s="5" t="s">
        <v>740</v>
      </c>
      <c r="B153" s="5" t="s">
        <v>741</v>
      </c>
      <c r="C153" s="5" t="s">
        <v>742</v>
      </c>
      <c r="D153" s="5" t="s">
        <v>443</v>
      </c>
      <c r="E153" s="5" t="s">
        <v>71</v>
      </c>
      <c r="F153" s="5" t="s">
        <v>444</v>
      </c>
    </row>
    <row r="154" customFormat="false" ht="15" hidden="false" customHeight="false" outlineLevel="0" collapsed="false">
      <c r="A154" s="5" t="s">
        <v>743</v>
      </c>
      <c r="B154" s="5" t="s">
        <v>744</v>
      </c>
      <c r="C154" s="5" t="s">
        <v>669</v>
      </c>
      <c r="D154" s="5" t="s">
        <v>443</v>
      </c>
      <c r="E154" s="5" t="s">
        <v>71</v>
      </c>
      <c r="F154" s="5" t="s">
        <v>444</v>
      </c>
    </row>
    <row r="155" customFormat="false" ht="15" hidden="false" customHeight="false" outlineLevel="0" collapsed="false">
      <c r="A155" s="5" t="s">
        <v>745</v>
      </c>
      <c r="B155" s="5" t="s">
        <v>744</v>
      </c>
      <c r="C155" s="5" t="s">
        <v>669</v>
      </c>
      <c r="D155" s="5" t="s">
        <v>443</v>
      </c>
      <c r="E155" s="5" t="s">
        <v>71</v>
      </c>
      <c r="F155" s="5" t="s">
        <v>444</v>
      </c>
    </row>
    <row r="156" customFormat="false" ht="15" hidden="false" customHeight="false" outlineLevel="0" collapsed="false">
      <c r="A156" s="5" t="s">
        <v>746</v>
      </c>
      <c r="B156" s="5" t="s">
        <v>744</v>
      </c>
      <c r="C156" s="5" t="s">
        <v>747</v>
      </c>
      <c r="D156" s="5" t="s">
        <v>443</v>
      </c>
      <c r="E156" s="5" t="s">
        <v>71</v>
      </c>
      <c r="F156" s="5" t="s">
        <v>444</v>
      </c>
    </row>
    <row r="157" customFormat="false" ht="15" hidden="false" customHeight="false" outlineLevel="0" collapsed="false">
      <c r="A157" s="5" t="s">
        <v>748</v>
      </c>
      <c r="B157" s="5" t="s">
        <v>744</v>
      </c>
      <c r="C157" s="5" t="s">
        <v>749</v>
      </c>
      <c r="D157" s="5" t="s">
        <v>443</v>
      </c>
      <c r="E157" s="5" t="s">
        <v>71</v>
      </c>
      <c r="F157" s="5" t="s">
        <v>444</v>
      </c>
    </row>
    <row r="158" customFormat="false" ht="15" hidden="false" customHeight="false" outlineLevel="0" collapsed="false">
      <c r="A158" s="5" t="s">
        <v>750</v>
      </c>
      <c r="B158" s="5" t="s">
        <v>744</v>
      </c>
      <c r="C158" s="5" t="s">
        <v>751</v>
      </c>
      <c r="D158" s="5" t="s">
        <v>443</v>
      </c>
      <c r="E158" s="5" t="s">
        <v>71</v>
      </c>
      <c r="F158" s="5" t="s">
        <v>444</v>
      </c>
    </row>
    <row r="159" customFormat="false" ht="15" hidden="false" customHeight="false" outlineLevel="0" collapsed="false">
      <c r="A159" s="5" t="s">
        <v>400</v>
      </c>
      <c r="B159" s="5" t="s">
        <v>752</v>
      </c>
      <c r="C159" s="5" t="s">
        <v>399</v>
      </c>
      <c r="D159" s="5" t="s">
        <v>443</v>
      </c>
      <c r="E159" s="5" t="s">
        <v>71</v>
      </c>
      <c r="F159" s="5" t="s">
        <v>452</v>
      </c>
    </row>
    <row r="160" customFormat="false" ht="15" hidden="false" customHeight="false" outlineLevel="0" collapsed="false">
      <c r="A160" s="5" t="s">
        <v>753</v>
      </c>
      <c r="B160" s="5" t="s">
        <v>754</v>
      </c>
      <c r="C160" s="5" t="s">
        <v>755</v>
      </c>
      <c r="D160" s="5" t="s">
        <v>443</v>
      </c>
      <c r="E160" s="5" t="s">
        <v>71</v>
      </c>
      <c r="F160" s="5" t="s">
        <v>444</v>
      </c>
    </row>
    <row r="161" customFormat="false" ht="15" hidden="false" customHeight="false" outlineLevel="0" collapsed="false">
      <c r="A161" s="5" t="s">
        <v>756</v>
      </c>
      <c r="B161" s="5" t="s">
        <v>757</v>
      </c>
      <c r="C161" s="5" t="s">
        <v>347</v>
      </c>
      <c r="D161" s="5" t="s">
        <v>443</v>
      </c>
      <c r="E161" s="5" t="s">
        <v>71</v>
      </c>
      <c r="F161" s="5" t="s">
        <v>758</v>
      </c>
    </row>
    <row r="162" customFormat="false" ht="15" hidden="false" customHeight="false" outlineLevel="0" collapsed="false">
      <c r="A162" s="5" t="s">
        <v>759</v>
      </c>
      <c r="B162" s="5" t="s">
        <v>757</v>
      </c>
      <c r="C162" s="5" t="s">
        <v>760</v>
      </c>
      <c r="D162" s="5" t="s">
        <v>443</v>
      </c>
      <c r="E162" s="5" t="s">
        <v>71</v>
      </c>
      <c r="F162" s="5" t="s">
        <v>758</v>
      </c>
    </row>
    <row r="163" customFormat="false" ht="15" hidden="false" customHeight="false" outlineLevel="0" collapsed="false">
      <c r="A163" s="5" t="s">
        <v>127</v>
      </c>
      <c r="B163" s="5" t="s">
        <v>761</v>
      </c>
      <c r="C163" s="5" t="s">
        <v>126</v>
      </c>
      <c r="D163" s="5" t="s">
        <v>443</v>
      </c>
      <c r="E163" s="5" t="s">
        <v>58</v>
      </c>
      <c r="F163" s="5" t="s">
        <v>452</v>
      </c>
    </row>
    <row r="164" customFormat="false" ht="15" hidden="false" customHeight="false" outlineLevel="0" collapsed="false">
      <c r="A164" s="5" t="s">
        <v>762</v>
      </c>
      <c r="B164" s="5" t="s">
        <v>763</v>
      </c>
      <c r="C164" s="5" t="s">
        <v>764</v>
      </c>
      <c r="D164" s="5" t="s">
        <v>443</v>
      </c>
      <c r="E164" s="5" t="s">
        <v>71</v>
      </c>
      <c r="F164" s="5" t="s">
        <v>444</v>
      </c>
    </row>
    <row r="165" customFormat="false" ht="15" hidden="false" customHeight="false" outlineLevel="0" collapsed="false">
      <c r="A165" s="5" t="s">
        <v>765</v>
      </c>
      <c r="B165" s="5" t="s">
        <v>766</v>
      </c>
      <c r="C165" s="5" t="s">
        <v>767</v>
      </c>
      <c r="D165" s="5" t="s">
        <v>443</v>
      </c>
      <c r="E165" s="5" t="s">
        <v>71</v>
      </c>
      <c r="F165" s="5" t="s">
        <v>444</v>
      </c>
    </row>
    <row r="166" customFormat="false" ht="15" hidden="false" customHeight="false" outlineLevel="0" collapsed="false">
      <c r="A166" s="5" t="s">
        <v>768</v>
      </c>
      <c r="B166" s="5" t="s">
        <v>766</v>
      </c>
      <c r="C166" s="5" t="s">
        <v>769</v>
      </c>
      <c r="D166" s="5" t="s">
        <v>443</v>
      </c>
      <c r="E166" s="5" t="s">
        <v>71</v>
      </c>
      <c r="F166" s="5" t="s">
        <v>444</v>
      </c>
    </row>
    <row r="167" customFormat="false" ht="15" hidden="false" customHeight="false" outlineLevel="0" collapsed="false">
      <c r="A167" s="5" t="s">
        <v>375</v>
      </c>
      <c r="B167" s="5" t="s">
        <v>770</v>
      </c>
      <c r="C167" s="5" t="s">
        <v>374</v>
      </c>
      <c r="D167" s="5" t="s">
        <v>443</v>
      </c>
      <c r="E167" s="5" t="s">
        <v>71</v>
      </c>
      <c r="F167" s="5" t="s">
        <v>452</v>
      </c>
    </row>
    <row r="168" customFormat="false" ht="15" hidden="false" customHeight="false" outlineLevel="0" collapsed="false">
      <c r="A168" s="5" t="s">
        <v>184</v>
      </c>
      <c r="B168" s="5" t="s">
        <v>771</v>
      </c>
      <c r="C168" s="5" t="s">
        <v>178</v>
      </c>
      <c r="D168" s="5" t="s">
        <v>443</v>
      </c>
      <c r="E168" s="5" t="s">
        <v>71</v>
      </c>
      <c r="F168" s="5" t="s">
        <v>452</v>
      </c>
    </row>
    <row r="169" customFormat="false" ht="15" hidden="false" customHeight="false" outlineLevel="0" collapsed="false">
      <c r="A169" s="5" t="s">
        <v>772</v>
      </c>
      <c r="B169" s="5" t="s">
        <v>771</v>
      </c>
      <c r="C169" s="5" t="s">
        <v>203</v>
      </c>
      <c r="D169" s="5" t="s">
        <v>443</v>
      </c>
      <c r="E169" s="5" t="s">
        <v>58</v>
      </c>
      <c r="F169" s="5" t="s">
        <v>773</v>
      </c>
    </row>
    <row r="170" customFormat="false" ht="15" hidden="false" customHeight="false" outlineLevel="0" collapsed="false">
      <c r="A170" s="5" t="s">
        <v>774</v>
      </c>
      <c r="B170" s="5" t="s">
        <v>771</v>
      </c>
      <c r="C170" s="5" t="s">
        <v>462</v>
      </c>
      <c r="D170" s="5" t="s">
        <v>486</v>
      </c>
      <c r="E170" s="5" t="s">
        <v>58</v>
      </c>
      <c r="F170" s="5" t="s">
        <v>773</v>
      </c>
    </row>
    <row r="171" customFormat="false" ht="15" hidden="false" customHeight="false" outlineLevel="0" collapsed="false">
      <c r="A171" s="5" t="s">
        <v>775</v>
      </c>
      <c r="B171" s="5" t="s">
        <v>776</v>
      </c>
      <c r="C171" s="5" t="s">
        <v>777</v>
      </c>
      <c r="D171" s="5" t="s">
        <v>443</v>
      </c>
      <c r="E171" s="5" t="s">
        <v>71</v>
      </c>
      <c r="F171" s="5" t="s">
        <v>444</v>
      </c>
    </row>
    <row r="172" customFormat="false" ht="15" hidden="false" customHeight="false" outlineLevel="0" collapsed="false">
      <c r="A172" s="5" t="s">
        <v>301</v>
      </c>
      <c r="B172" s="5" t="s">
        <v>778</v>
      </c>
      <c r="C172" s="5" t="s">
        <v>300</v>
      </c>
      <c r="D172" s="5" t="s">
        <v>443</v>
      </c>
      <c r="E172" s="5" t="s">
        <v>58</v>
      </c>
      <c r="F172" s="5" t="s">
        <v>452</v>
      </c>
    </row>
    <row r="173" customFormat="false" ht="15" hidden="false" customHeight="false" outlineLevel="0" collapsed="false">
      <c r="A173" s="5" t="s">
        <v>779</v>
      </c>
      <c r="B173" s="5" t="s">
        <v>778</v>
      </c>
      <c r="C173" s="5" t="s">
        <v>780</v>
      </c>
      <c r="D173" s="5" t="s">
        <v>443</v>
      </c>
      <c r="E173" s="5" t="s">
        <v>71</v>
      </c>
      <c r="F173" s="5" t="s">
        <v>444</v>
      </c>
    </row>
    <row r="174" customFormat="false" ht="15" hidden="false" customHeight="false" outlineLevel="0" collapsed="false">
      <c r="A174" s="5" t="s">
        <v>781</v>
      </c>
      <c r="B174" s="5" t="s">
        <v>782</v>
      </c>
      <c r="C174" s="5" t="s">
        <v>284</v>
      </c>
      <c r="D174" s="5" t="s">
        <v>443</v>
      </c>
      <c r="E174" s="5" t="s">
        <v>71</v>
      </c>
      <c r="F174" s="5" t="s">
        <v>444</v>
      </c>
    </row>
    <row r="175" customFormat="false" ht="15" hidden="false" customHeight="false" outlineLevel="0" collapsed="false">
      <c r="A175" s="5" t="s">
        <v>783</v>
      </c>
      <c r="B175" s="5" t="s">
        <v>784</v>
      </c>
      <c r="C175" s="5" t="s">
        <v>442</v>
      </c>
      <c r="D175" s="5" t="s">
        <v>443</v>
      </c>
      <c r="E175" s="5" t="s">
        <v>71</v>
      </c>
      <c r="F175" s="5" t="s">
        <v>444</v>
      </c>
    </row>
    <row r="176" customFormat="false" ht="15" hidden="false" customHeight="false" outlineLevel="0" collapsed="false">
      <c r="A176" s="5" t="s">
        <v>93</v>
      </c>
      <c r="B176" s="5" t="s">
        <v>785</v>
      </c>
      <c r="C176" s="5" t="s">
        <v>92</v>
      </c>
      <c r="D176" s="5" t="s">
        <v>443</v>
      </c>
      <c r="E176" s="5" t="s">
        <v>58</v>
      </c>
      <c r="F176" s="5" t="s">
        <v>452</v>
      </c>
    </row>
    <row r="177" customFormat="false" ht="15" hidden="false" customHeight="false" outlineLevel="0" collapsed="false">
      <c r="A177" s="5" t="s">
        <v>786</v>
      </c>
      <c r="B177" s="5" t="s">
        <v>785</v>
      </c>
      <c r="C177" s="5" t="s">
        <v>787</v>
      </c>
      <c r="D177" s="5" t="s">
        <v>486</v>
      </c>
      <c r="E177" s="5" t="s">
        <v>58</v>
      </c>
      <c r="F177" s="5" t="s">
        <v>788</v>
      </c>
    </row>
    <row r="178" customFormat="false" ht="15" hidden="false" customHeight="false" outlineLevel="0" collapsed="false">
      <c r="A178" s="5" t="s">
        <v>789</v>
      </c>
      <c r="B178" s="5" t="s">
        <v>790</v>
      </c>
      <c r="C178" s="5" t="s">
        <v>197</v>
      </c>
      <c r="D178" s="5" t="s">
        <v>443</v>
      </c>
      <c r="E178" s="5" t="s">
        <v>71</v>
      </c>
      <c r="F178" s="5" t="s">
        <v>444</v>
      </c>
    </row>
    <row r="179" customFormat="false" ht="15" hidden="false" customHeight="false" outlineLevel="0" collapsed="false">
      <c r="A179" s="5" t="s">
        <v>791</v>
      </c>
      <c r="B179" s="5" t="s">
        <v>792</v>
      </c>
      <c r="C179" s="5" t="s">
        <v>379</v>
      </c>
      <c r="D179" s="5" t="s">
        <v>443</v>
      </c>
      <c r="E179" s="5" t="s">
        <v>71</v>
      </c>
      <c r="F179" s="5" t="s">
        <v>444</v>
      </c>
    </row>
    <row r="180" customFormat="false" ht="15" hidden="false" customHeight="false" outlineLevel="0" collapsed="false">
      <c r="A180" s="5" t="s">
        <v>793</v>
      </c>
      <c r="B180" s="5" t="s">
        <v>794</v>
      </c>
      <c r="C180" s="5" t="s">
        <v>795</v>
      </c>
      <c r="D180" s="5" t="s">
        <v>443</v>
      </c>
      <c r="E180" s="5" t="s">
        <v>71</v>
      </c>
      <c r="F180" s="5" t="s">
        <v>444</v>
      </c>
    </row>
    <row r="181" customFormat="false" ht="15" hidden="false" customHeight="false" outlineLevel="0" collapsed="false">
      <c r="A181" s="5" t="s">
        <v>796</v>
      </c>
      <c r="B181" s="5" t="s">
        <v>797</v>
      </c>
      <c r="C181" s="5" t="s">
        <v>116</v>
      </c>
      <c r="D181" s="5" t="s">
        <v>443</v>
      </c>
      <c r="E181" s="5" t="s">
        <v>71</v>
      </c>
      <c r="F181" s="5" t="s">
        <v>444</v>
      </c>
    </row>
    <row r="182" customFormat="false" ht="15" hidden="false" customHeight="false" outlineLevel="0" collapsed="false">
      <c r="A182" s="5" t="s">
        <v>798</v>
      </c>
      <c r="B182" s="5" t="s">
        <v>797</v>
      </c>
      <c r="C182" s="5" t="s">
        <v>799</v>
      </c>
      <c r="D182" s="5" t="s">
        <v>443</v>
      </c>
      <c r="E182" s="5" t="s">
        <v>71</v>
      </c>
      <c r="F182" s="5" t="s">
        <v>444</v>
      </c>
    </row>
    <row r="183" customFormat="false" ht="15" hidden="false" customHeight="false" outlineLevel="0" collapsed="false">
      <c r="A183" s="5" t="s">
        <v>800</v>
      </c>
      <c r="B183" s="5" t="s">
        <v>801</v>
      </c>
      <c r="C183" s="5" t="s">
        <v>693</v>
      </c>
      <c r="D183" s="5" t="s">
        <v>443</v>
      </c>
      <c r="E183" s="5" t="s">
        <v>71</v>
      </c>
      <c r="F183" s="5" t="s">
        <v>444</v>
      </c>
    </row>
    <row r="184" customFormat="false" ht="15" hidden="false" customHeight="false" outlineLevel="0" collapsed="false">
      <c r="A184" s="5" t="s">
        <v>802</v>
      </c>
      <c r="B184" s="5" t="s">
        <v>801</v>
      </c>
      <c r="C184" s="5" t="s">
        <v>695</v>
      </c>
      <c r="D184" s="5" t="s">
        <v>443</v>
      </c>
      <c r="E184" s="5" t="s">
        <v>71</v>
      </c>
      <c r="F184" s="5" t="s">
        <v>444</v>
      </c>
    </row>
    <row r="185" customFormat="false" ht="15" hidden="false" customHeight="false" outlineLevel="0" collapsed="false">
      <c r="A185" s="5" t="s">
        <v>803</v>
      </c>
      <c r="B185" s="5" t="s">
        <v>801</v>
      </c>
      <c r="C185" s="5" t="s">
        <v>804</v>
      </c>
      <c r="D185" s="5" t="s">
        <v>443</v>
      </c>
      <c r="E185" s="5" t="s">
        <v>71</v>
      </c>
      <c r="F185" s="5" t="s">
        <v>444</v>
      </c>
    </row>
    <row r="186" customFormat="false" ht="15" hidden="false" customHeight="false" outlineLevel="0" collapsed="false">
      <c r="A186" s="5" t="s">
        <v>805</v>
      </c>
      <c r="B186" s="5" t="s">
        <v>806</v>
      </c>
      <c r="C186" s="5" t="s">
        <v>701</v>
      </c>
      <c r="D186" s="5" t="s">
        <v>443</v>
      </c>
      <c r="E186" s="5" t="s">
        <v>71</v>
      </c>
      <c r="F186" s="5" t="s">
        <v>807</v>
      </c>
    </row>
    <row r="187" customFormat="false" ht="15" hidden="false" customHeight="false" outlineLevel="0" collapsed="false">
      <c r="A187" s="5" t="s">
        <v>338</v>
      </c>
      <c r="B187" s="5" t="s">
        <v>808</v>
      </c>
      <c r="C187" s="5" t="s">
        <v>337</v>
      </c>
      <c r="D187" s="5" t="s">
        <v>443</v>
      </c>
      <c r="E187" s="5" t="s">
        <v>58</v>
      </c>
      <c r="F187" s="5" t="s">
        <v>452</v>
      </c>
    </row>
    <row r="188" customFormat="false" ht="15" hidden="false" customHeight="false" outlineLevel="0" collapsed="false">
      <c r="A188" s="5" t="s">
        <v>107</v>
      </c>
      <c r="B188" s="5" t="s">
        <v>809</v>
      </c>
      <c r="C188" s="5" t="s">
        <v>106</v>
      </c>
      <c r="D188" s="5" t="s">
        <v>443</v>
      </c>
      <c r="E188" s="5" t="s">
        <v>58</v>
      </c>
      <c r="F188" s="5" t="s">
        <v>452</v>
      </c>
    </row>
    <row r="189" customFormat="false" ht="15" hidden="false" customHeight="false" outlineLevel="0" collapsed="false">
      <c r="A189" s="5" t="s">
        <v>810</v>
      </c>
      <c r="B189" s="5" t="s">
        <v>809</v>
      </c>
      <c r="C189" s="5" t="s">
        <v>673</v>
      </c>
      <c r="D189" s="5" t="s">
        <v>486</v>
      </c>
      <c r="E189" s="5" t="s">
        <v>58</v>
      </c>
      <c r="F189" s="5" t="s">
        <v>811</v>
      </c>
    </row>
    <row r="190" customFormat="false" ht="15" hidden="false" customHeight="false" outlineLevel="0" collapsed="false">
      <c r="A190" s="5" t="s">
        <v>812</v>
      </c>
      <c r="B190" s="5" t="s">
        <v>809</v>
      </c>
      <c r="C190" s="5" t="s">
        <v>813</v>
      </c>
      <c r="D190" s="5" t="s">
        <v>486</v>
      </c>
      <c r="E190" s="5" t="s">
        <v>58</v>
      </c>
      <c r="F190" s="5" t="s">
        <v>811</v>
      </c>
    </row>
    <row r="191" customFormat="false" ht="15" hidden="false" customHeight="false" outlineLevel="0" collapsed="false">
      <c r="A191" s="5" t="s">
        <v>814</v>
      </c>
      <c r="B191" s="5" t="s">
        <v>815</v>
      </c>
      <c r="C191" s="5" t="s">
        <v>780</v>
      </c>
      <c r="D191" s="5" t="s">
        <v>443</v>
      </c>
      <c r="E191" s="5" t="s">
        <v>71</v>
      </c>
      <c r="F191" s="5" t="s">
        <v>444</v>
      </c>
    </row>
    <row r="192" customFormat="false" ht="15" hidden="false" customHeight="false" outlineLevel="0" collapsed="false">
      <c r="A192" s="5" t="s">
        <v>57</v>
      </c>
      <c r="B192" s="5" t="s">
        <v>816</v>
      </c>
      <c r="C192" s="5" t="s">
        <v>56</v>
      </c>
      <c r="D192" s="5" t="s">
        <v>443</v>
      </c>
      <c r="E192" s="5" t="s">
        <v>58</v>
      </c>
      <c r="F192" s="5" t="s">
        <v>452</v>
      </c>
    </row>
    <row r="193" customFormat="false" ht="15" hidden="false" customHeight="false" outlineLevel="0" collapsed="false">
      <c r="A193" s="5" t="s">
        <v>817</v>
      </c>
      <c r="B193" s="5" t="s">
        <v>816</v>
      </c>
      <c r="C193" s="5" t="s">
        <v>818</v>
      </c>
      <c r="D193" s="5" t="s">
        <v>486</v>
      </c>
      <c r="E193" s="5" t="s">
        <v>58</v>
      </c>
      <c r="F193" s="5" t="s">
        <v>819</v>
      </c>
    </row>
    <row r="194" customFormat="false" ht="15" hidden="false" customHeight="false" outlineLevel="0" collapsed="false">
      <c r="A194" s="5" t="s">
        <v>820</v>
      </c>
      <c r="B194" s="5" t="s">
        <v>821</v>
      </c>
      <c r="C194" s="5" t="s">
        <v>822</v>
      </c>
      <c r="D194" s="5" t="s">
        <v>443</v>
      </c>
      <c r="E194" s="5" t="s">
        <v>71</v>
      </c>
      <c r="F194" s="5" t="s">
        <v>444</v>
      </c>
    </row>
    <row r="195" customFormat="false" ht="15" hidden="false" customHeight="false" outlineLevel="0" collapsed="false">
      <c r="A195" s="5" t="s">
        <v>823</v>
      </c>
      <c r="B195" s="5" t="s">
        <v>821</v>
      </c>
      <c r="C195" s="5" t="s">
        <v>824</v>
      </c>
      <c r="D195" s="5" t="s">
        <v>443</v>
      </c>
      <c r="E195" s="5" t="s">
        <v>71</v>
      </c>
      <c r="F195" s="5" t="s">
        <v>444</v>
      </c>
    </row>
    <row r="196" customFormat="false" ht="15" hidden="false" customHeight="false" outlineLevel="0" collapsed="false">
      <c r="A196" s="5" t="s">
        <v>825</v>
      </c>
      <c r="B196" s="5" t="s">
        <v>821</v>
      </c>
      <c r="C196" s="5" t="s">
        <v>826</v>
      </c>
      <c r="D196" s="5" t="s">
        <v>443</v>
      </c>
      <c r="E196" s="5" t="s">
        <v>71</v>
      </c>
      <c r="F196" s="5" t="s">
        <v>444</v>
      </c>
    </row>
    <row r="197" customFormat="false" ht="15" hidden="false" customHeight="false" outlineLevel="0" collapsed="false">
      <c r="A197" s="5" t="s">
        <v>827</v>
      </c>
      <c r="B197" s="5" t="s">
        <v>821</v>
      </c>
      <c r="C197" s="5" t="s">
        <v>828</v>
      </c>
      <c r="D197" s="5" t="s">
        <v>443</v>
      </c>
      <c r="E197" s="5" t="s">
        <v>71</v>
      </c>
      <c r="F197" s="5" t="s">
        <v>444</v>
      </c>
    </row>
    <row r="198" customFormat="false" ht="15" hidden="false" customHeight="false" outlineLevel="0" collapsed="false">
      <c r="A198" s="5" t="s">
        <v>829</v>
      </c>
      <c r="B198" s="5" t="s">
        <v>830</v>
      </c>
      <c r="C198" s="5" t="s">
        <v>777</v>
      </c>
      <c r="D198" s="5" t="s">
        <v>443</v>
      </c>
      <c r="E198" s="5" t="s">
        <v>71</v>
      </c>
      <c r="F198" s="5" t="s">
        <v>444</v>
      </c>
    </row>
    <row r="199" customFormat="false" ht="15" hidden="false" customHeight="false" outlineLevel="0" collapsed="false">
      <c r="A199" s="5" t="s">
        <v>97</v>
      </c>
      <c r="B199" s="5" t="s">
        <v>831</v>
      </c>
      <c r="C199" s="5" t="s">
        <v>92</v>
      </c>
      <c r="D199" s="5" t="s">
        <v>443</v>
      </c>
      <c r="E199" s="5" t="s">
        <v>71</v>
      </c>
      <c r="F199" s="5" t="s">
        <v>452</v>
      </c>
    </row>
    <row r="200" customFormat="false" ht="15" hidden="false" customHeight="false" outlineLevel="0" collapsed="false">
      <c r="A200" s="5" t="s">
        <v>364</v>
      </c>
      <c r="B200" s="5" t="s">
        <v>832</v>
      </c>
      <c r="C200" s="5" t="s">
        <v>363</v>
      </c>
      <c r="D200" s="5" t="s">
        <v>443</v>
      </c>
      <c r="E200" s="5" t="s">
        <v>58</v>
      </c>
      <c r="F200" s="5" t="s">
        <v>452</v>
      </c>
    </row>
    <row r="201" customFormat="false" ht="15" hidden="false" customHeight="false" outlineLevel="0" collapsed="false">
      <c r="A201" s="5" t="s">
        <v>833</v>
      </c>
      <c r="B201" s="5" t="s">
        <v>834</v>
      </c>
      <c r="C201" s="5" t="s">
        <v>835</v>
      </c>
      <c r="D201" s="5" t="s">
        <v>443</v>
      </c>
      <c r="E201" s="5" t="s">
        <v>71</v>
      </c>
      <c r="F201" s="5" t="s">
        <v>444</v>
      </c>
    </row>
    <row r="202" customFormat="false" ht="15" hidden="false" customHeight="false" outlineLevel="0" collapsed="false">
      <c r="A202" s="5" t="s">
        <v>328</v>
      </c>
      <c r="B202" s="5" t="s">
        <v>836</v>
      </c>
      <c r="C202" s="5" t="s">
        <v>327</v>
      </c>
      <c r="D202" s="5" t="s">
        <v>443</v>
      </c>
      <c r="E202" s="5" t="s">
        <v>58</v>
      </c>
      <c r="F202" s="5" t="s">
        <v>452</v>
      </c>
    </row>
    <row r="203" customFormat="false" ht="15" hidden="false" customHeight="false" outlineLevel="0" collapsed="false">
      <c r="A203" s="5" t="s">
        <v>837</v>
      </c>
      <c r="B203" s="5" t="s">
        <v>838</v>
      </c>
      <c r="C203" s="5" t="s">
        <v>839</v>
      </c>
      <c r="D203" s="5" t="s">
        <v>486</v>
      </c>
      <c r="E203" s="5" t="s">
        <v>71</v>
      </c>
      <c r="F203" s="5" t="s">
        <v>444</v>
      </c>
    </row>
    <row r="204" customFormat="false" ht="15" hidden="false" customHeight="false" outlineLevel="0" collapsed="false">
      <c r="A204" s="5" t="s">
        <v>264</v>
      </c>
      <c r="B204" s="5" t="s">
        <v>840</v>
      </c>
      <c r="C204" s="5" t="s">
        <v>263</v>
      </c>
      <c r="D204" s="5" t="s">
        <v>443</v>
      </c>
      <c r="E204" s="5" t="s">
        <v>58</v>
      </c>
      <c r="F204" s="5" t="s">
        <v>452</v>
      </c>
    </row>
    <row r="205" customFormat="false" ht="15" hidden="false" customHeight="false" outlineLevel="0" collapsed="false">
      <c r="A205" s="5" t="s">
        <v>70</v>
      </c>
      <c r="B205" s="5" t="s">
        <v>841</v>
      </c>
      <c r="C205" s="5" t="s">
        <v>69</v>
      </c>
      <c r="D205" s="5" t="s">
        <v>443</v>
      </c>
      <c r="E205" s="5" t="s">
        <v>71</v>
      </c>
      <c r="F205" s="5" t="s">
        <v>452</v>
      </c>
    </row>
    <row r="206" customFormat="false" ht="15" hidden="false" customHeight="false" outlineLevel="0" collapsed="false">
      <c r="A206" s="5" t="s">
        <v>842</v>
      </c>
      <c r="B206" s="5" t="s">
        <v>841</v>
      </c>
      <c r="C206" s="5" t="s">
        <v>843</v>
      </c>
      <c r="D206" s="5" t="s">
        <v>486</v>
      </c>
      <c r="E206" s="5" t="s">
        <v>71</v>
      </c>
      <c r="F206" s="5" t="s">
        <v>844</v>
      </c>
    </row>
    <row r="207" customFormat="false" ht="15" hidden="false" customHeight="false" outlineLevel="0" collapsed="false">
      <c r="A207" s="5" t="s">
        <v>845</v>
      </c>
      <c r="B207" s="5" t="s">
        <v>841</v>
      </c>
      <c r="C207" s="5" t="s">
        <v>111</v>
      </c>
      <c r="D207" s="5" t="s">
        <v>486</v>
      </c>
      <c r="E207" s="5" t="s">
        <v>71</v>
      </c>
      <c r="F207" s="5" t="s">
        <v>844</v>
      </c>
    </row>
  </sheetData>
  <autoFilter ref="A1:F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2026-10-01T05:34:16Z</dcterms:created>
  <dc:creator>openpyxl</dc:creator>
  <dc:description/>
  <dc:language>en-US</dc:language>
  <cp:lastModifiedBy/>
  <dcterms:modified xsi:type="dcterms:W3CDTF">2026-10-01T05:34:16Z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